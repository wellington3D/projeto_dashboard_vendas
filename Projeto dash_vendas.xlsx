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fd35ce1786949f/Área de Trabalho/Wellington/Trabalho Rosy/"/>
    </mc:Choice>
  </mc:AlternateContent>
  <xr:revisionPtr revIDLastSave="8" documentId="13_ncr:1_{1EC47E08-B908-418F-8900-F564A1C0470D}" xr6:coauthVersionLast="47" xr6:coauthVersionMax="47" xr10:uidLastSave="{1361AF15-6240-4674-A0B0-2C08C9E321D8}"/>
  <bookViews>
    <workbookView xWindow="-105" yWindow="0" windowWidth="14610" windowHeight="15585" tabRatio="30" xr2:uid="{98687E13-DAF9-4AC2-A4F6-7347C88F4729}"/>
  </bookViews>
  <sheets>
    <sheet name="DASHBOARD" sheetId="7" r:id="rId1"/>
    <sheet name="Tabela Dinamica" sheetId="8" state="hidden" r:id="rId2"/>
    <sheet name="BASE VENDAS" sheetId="1" state="hidden" r:id="rId3"/>
  </sheets>
  <definedNames>
    <definedName name="SegmentaçãodeDados_Anos__Data">#N/A</definedName>
    <definedName name="SegmentaçãodeDados_Cidade">#N/A</definedName>
    <definedName name="SegmentaçãodeDados_Mês">#N/A</definedName>
    <definedName name="SegmentaçãodeDados_Paciente">#N/A</definedName>
    <definedName name="SegmentaçãodeDados_Procedimento">#N/A</definedName>
    <definedName name="SegmentaçãodeDados_Quantidade">#N/A</definedName>
    <definedName name="SegmentaçãodeDados_Vendedor">#N/A</definedName>
  </definedNames>
  <calcPr calcId="181029"/>
  <pivotCaches>
    <pivotCache cacheId="1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6" i="1" l="1"/>
  <c r="L416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K391" i="1"/>
  <c r="L391" i="1"/>
  <c r="K385" i="1"/>
  <c r="K386" i="1"/>
  <c r="K387" i="1"/>
  <c r="K388" i="1"/>
  <c r="K389" i="1"/>
  <c r="K390" i="1"/>
  <c r="L385" i="1"/>
  <c r="L386" i="1"/>
  <c r="L387" i="1"/>
  <c r="L388" i="1"/>
  <c r="L389" i="1"/>
  <c r="L390" i="1"/>
  <c r="K384" i="1"/>
  <c r="L384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243" i="1"/>
  <c r="K243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K36" i="1"/>
  <c r="K37" i="1"/>
  <c r="K23" i="1"/>
  <c r="K2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5" i="1"/>
  <c r="K26" i="1"/>
  <c r="K27" i="1"/>
  <c r="K28" i="1"/>
  <c r="K29" i="1"/>
  <c r="K30" i="1"/>
  <c r="K31" i="1"/>
  <c r="K32" i="1"/>
  <c r="K33" i="1"/>
  <c r="K34" i="1"/>
  <c r="K35" i="1"/>
  <c r="K38" i="1"/>
  <c r="K39" i="1"/>
  <c r="K40" i="1"/>
  <c r="K41" i="1"/>
  <c r="K42" i="1"/>
  <c r="K43" i="1"/>
  <c r="K44" i="1"/>
  <c r="K4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142" i="1"/>
  <c r="K143" i="1"/>
  <c r="K114" i="1"/>
  <c r="K115" i="1"/>
  <c r="K116" i="1"/>
  <c r="K47" i="1" l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46" i="1"/>
</calcChain>
</file>

<file path=xl/sharedStrings.xml><?xml version="1.0" encoding="utf-8"?>
<sst xmlns="http://schemas.openxmlformats.org/spreadsheetml/2006/main" count="1759" uniqueCount="324">
  <si>
    <t>Sequencia</t>
  </si>
  <si>
    <t>Data</t>
  </si>
  <si>
    <t>Cidade</t>
  </si>
  <si>
    <t>Procedimento</t>
  </si>
  <si>
    <t>Quantidade</t>
  </si>
  <si>
    <t>Valor</t>
  </si>
  <si>
    <t>Taxa Cartão</t>
  </si>
  <si>
    <t>Vendedor</t>
  </si>
  <si>
    <t>% Comissão</t>
  </si>
  <si>
    <t>Valor Comissão</t>
  </si>
  <si>
    <t>João Pinheiro</t>
  </si>
  <si>
    <t>Consulta</t>
  </si>
  <si>
    <t>Blefaroplastia</t>
  </si>
  <si>
    <t>Chrome</t>
  </si>
  <si>
    <t>Sculptra</t>
  </si>
  <si>
    <t>Biopsia</t>
  </si>
  <si>
    <t>Nitrogênio</t>
  </si>
  <si>
    <t>Preenchimento/Botox</t>
  </si>
  <si>
    <t>Pacote Chrome</t>
  </si>
  <si>
    <t>CONSULTA</t>
  </si>
  <si>
    <t>Vitamina</t>
  </si>
  <si>
    <t>CHROME</t>
  </si>
  <si>
    <t>Remoção Tatoo</t>
  </si>
  <si>
    <t>Avaliação</t>
  </si>
  <si>
    <t>Apl. Minoxidil</t>
  </si>
  <si>
    <t>chrome</t>
  </si>
  <si>
    <t>Plasma</t>
  </si>
  <si>
    <t>Crio cirurgia</t>
  </si>
  <si>
    <t>Ultraforme</t>
  </si>
  <si>
    <t>PLASMA</t>
  </si>
  <si>
    <t>Ninfloplastia</t>
  </si>
  <si>
    <t>Botox</t>
  </si>
  <si>
    <t>Rosy</t>
  </si>
  <si>
    <t>Soma de Valor</t>
  </si>
  <si>
    <t>Rótulos de Linha</t>
  </si>
  <si>
    <t>Total Geral</t>
  </si>
  <si>
    <t>Soma de Valor Comissão</t>
  </si>
  <si>
    <t>Soma de Quantidade</t>
  </si>
  <si>
    <t>Paracatu</t>
  </si>
  <si>
    <t>Pacote Vip</t>
  </si>
  <si>
    <t>Cirurgia P</t>
  </si>
  <si>
    <t>Laser Intimo</t>
  </si>
  <si>
    <t>Transplante</t>
  </si>
  <si>
    <t>Paciente</t>
  </si>
  <si>
    <t>Helio</t>
  </si>
  <si>
    <t xml:space="preserve">Wadson </t>
  </si>
  <si>
    <t>Adalgisa</t>
  </si>
  <si>
    <t>Ceres</t>
  </si>
  <si>
    <t>Nascimento</t>
  </si>
  <si>
    <t>Maria dos Reis</t>
  </si>
  <si>
    <t>Silvia</t>
  </si>
  <si>
    <t>Antônia</t>
  </si>
  <si>
    <t>Luiz Henrique</t>
  </si>
  <si>
    <t>Sintia</t>
  </si>
  <si>
    <t>Cátia</t>
  </si>
  <si>
    <t>Marcelo</t>
  </si>
  <si>
    <t>Raniel</t>
  </si>
  <si>
    <t>Edneia</t>
  </si>
  <si>
    <t>Sonia</t>
  </si>
  <si>
    <t>Tadeu</t>
  </si>
  <si>
    <t>Andreia</t>
  </si>
  <si>
    <t>Selma</t>
  </si>
  <si>
    <t>Alex</t>
  </si>
  <si>
    <t>Mellissa</t>
  </si>
  <si>
    <t>Aline</t>
  </si>
  <si>
    <t>Leonardo e Kevin</t>
  </si>
  <si>
    <t>Clezia</t>
  </si>
  <si>
    <t>Maria Fernanda</t>
  </si>
  <si>
    <t>Raquel</t>
  </si>
  <si>
    <t>Wesley</t>
  </si>
  <si>
    <t>Ele</t>
  </si>
  <si>
    <t>Camila</t>
  </si>
  <si>
    <t>Lezita</t>
  </si>
  <si>
    <t>Flávia</t>
  </si>
  <si>
    <t>Heitor</t>
  </si>
  <si>
    <t>Cleide</t>
  </si>
  <si>
    <t>Luiza</t>
  </si>
  <si>
    <t>Eva</t>
  </si>
  <si>
    <t>Lilia</t>
  </si>
  <si>
    <t>Andre</t>
  </si>
  <si>
    <t>Antonio</t>
  </si>
  <si>
    <t>Diego</t>
  </si>
  <si>
    <t>Nara</t>
  </si>
  <si>
    <t>Ludi</t>
  </si>
  <si>
    <t>Vania</t>
  </si>
  <si>
    <t>Gabriely</t>
  </si>
  <si>
    <t>Fábio</t>
  </si>
  <si>
    <t>Helen</t>
  </si>
  <si>
    <t>Carolina e Filomena</t>
  </si>
  <si>
    <t>Fernanda</t>
  </si>
  <si>
    <t>Maria Madalena</t>
  </si>
  <si>
    <t>Maria José</t>
  </si>
  <si>
    <t>Beatriz</t>
  </si>
  <si>
    <t>Giselda</t>
  </si>
  <si>
    <t>João</t>
  </si>
  <si>
    <t>Wellington</t>
  </si>
  <si>
    <t>Hebert</t>
  </si>
  <si>
    <t>Terezinha</t>
  </si>
  <si>
    <t>Zeno e Silvia</t>
  </si>
  <si>
    <t>Ademir</t>
  </si>
  <si>
    <t>Ludimila</t>
  </si>
  <si>
    <t>José e Hamilton</t>
  </si>
  <si>
    <t>Aparecida</t>
  </si>
  <si>
    <t>Conceição</t>
  </si>
  <si>
    <t>Ivanete</t>
  </si>
  <si>
    <t>Monica</t>
  </si>
  <si>
    <t>Ana Kele</t>
  </si>
  <si>
    <t>Mercedes</t>
  </si>
  <si>
    <t>Bruno</t>
  </si>
  <si>
    <t>Zeno</t>
  </si>
  <si>
    <t>Ciomar</t>
  </si>
  <si>
    <t>Germana</t>
  </si>
  <si>
    <t>Vane</t>
  </si>
  <si>
    <t>Rosa</t>
  </si>
  <si>
    <t>Wilde</t>
  </si>
  <si>
    <t>Maria Joana Pires de Almeida</t>
  </si>
  <si>
    <t>Isadora Souza Couto</t>
  </si>
  <si>
    <t>Carina de Sales Dornelas</t>
  </si>
  <si>
    <t>Giselda Caldeira de Souza</t>
  </si>
  <si>
    <t>Mayara Simões Santiago</t>
  </si>
  <si>
    <t>Luiza Soares</t>
  </si>
  <si>
    <t>Sebastião Ferreira da Silva</t>
  </si>
  <si>
    <t>Maria Janete Teixeira</t>
  </si>
  <si>
    <t>Flavia Borges de Meneses Campos</t>
  </si>
  <si>
    <t>Karina Oliveira Ribeiro</t>
  </si>
  <si>
    <t>Maris Madalena Lacerda Santiago</t>
  </si>
  <si>
    <t>Fernando Gabriel de Amorin</t>
  </si>
  <si>
    <t>Gabriel Lucas Alves Dornelas</t>
  </si>
  <si>
    <t xml:space="preserve">Maria José Leles </t>
  </si>
  <si>
    <t>Maris Eduarda Costa Santos</t>
  </si>
  <si>
    <t>Aparecida Maria Alves de Souza</t>
  </si>
  <si>
    <t>Renata Giordano Costa</t>
  </si>
  <si>
    <t>Eva Maria Solto de Jesus</t>
  </si>
  <si>
    <t>Davi Lucas Tavares dos Reis</t>
  </si>
  <si>
    <t>Erenice de Oliveira</t>
  </si>
  <si>
    <t>Izabel Ieda Silva Machado</t>
  </si>
  <si>
    <t>Viviane Aparecida Tavares Moreira</t>
  </si>
  <si>
    <t>Davi Gonçalves dos Santos</t>
  </si>
  <si>
    <t>Iude Gonçalves da Silva</t>
  </si>
  <si>
    <t>Maris José Leles</t>
  </si>
  <si>
    <t>Maria Raquel Ferreira</t>
  </si>
  <si>
    <t>Fávia Menezes Campos</t>
  </si>
  <si>
    <t>Wesley Pereira dos Santos</t>
  </si>
  <si>
    <t xml:space="preserve">José Maria </t>
  </si>
  <si>
    <t>Matheus Henrique Ribeiro Souto</t>
  </si>
  <si>
    <t>Geralda Lima</t>
  </si>
  <si>
    <t>Selma Teixeira Gomes</t>
  </si>
  <si>
    <t>José Maria Pereira</t>
  </si>
  <si>
    <t>Valdenice Batista do Nascimento</t>
  </si>
  <si>
    <t>Daniel Alves da Silva</t>
  </si>
  <si>
    <t>Maria Eduarda Costa Santos</t>
  </si>
  <si>
    <t>Maria Madalena Lacerda Santiago</t>
  </si>
  <si>
    <t>Cirurgia/procedimentos</t>
  </si>
  <si>
    <t>Preenchimento</t>
  </si>
  <si>
    <t>Ultraforme/Sculptra</t>
  </si>
  <si>
    <t>Glúteo</t>
  </si>
  <si>
    <t xml:space="preserve">Ivanete Lopes Gonzaga </t>
  </si>
  <si>
    <t>Marta Tavares de Moura Duarte</t>
  </si>
  <si>
    <t>Zilda Carneiro dos Santos</t>
  </si>
  <si>
    <t>Sculptra/Botox</t>
  </si>
  <si>
    <t>José Camilo Correa Andrae</t>
  </si>
  <si>
    <t xml:space="preserve">Paloma Mirelli Matos  </t>
  </si>
  <si>
    <t xml:space="preserve">Wilde </t>
  </si>
  <si>
    <t>Nizia</t>
  </si>
  <si>
    <t>Eduardo</t>
  </si>
  <si>
    <t>Maria Janete</t>
  </si>
  <si>
    <t>Ilde</t>
  </si>
  <si>
    <t xml:space="preserve">Terezinha </t>
  </si>
  <si>
    <t>Monique</t>
  </si>
  <si>
    <t>Leonardo</t>
  </si>
  <si>
    <t>Josimar</t>
  </si>
  <si>
    <t>Carlos Eduardo</t>
  </si>
  <si>
    <t>Evandro</t>
  </si>
  <si>
    <t>Keven</t>
  </si>
  <si>
    <t>Valdemiro</t>
  </si>
  <si>
    <t>Cecilia</t>
  </si>
  <si>
    <t>Zélia</t>
  </si>
  <si>
    <t>Rafaela</t>
  </si>
  <si>
    <t>Flaviane</t>
  </si>
  <si>
    <t>Antônio</t>
  </si>
  <si>
    <t>Erenice</t>
  </si>
  <si>
    <t>Queria</t>
  </si>
  <si>
    <t>Juliete</t>
  </si>
  <si>
    <t>Ivan</t>
  </si>
  <si>
    <t>Maris José</t>
  </si>
  <si>
    <t>Laiza</t>
  </si>
  <si>
    <t>João Borges</t>
  </si>
  <si>
    <t>Tulio</t>
  </si>
  <si>
    <t>Lara</t>
  </si>
  <si>
    <t>Márcia</t>
  </si>
  <si>
    <t>Neuva</t>
  </si>
  <si>
    <t>Gizelda</t>
  </si>
  <si>
    <t>Caroline</t>
  </si>
  <si>
    <t>Sofia</t>
  </si>
  <si>
    <t>Marconi</t>
  </si>
  <si>
    <t>Ryan</t>
  </si>
  <si>
    <t>Isabela</t>
  </si>
  <si>
    <t>Valdinei</t>
  </si>
  <si>
    <t>Ana</t>
  </si>
  <si>
    <t>Lilian</t>
  </si>
  <si>
    <t>Gerson</t>
  </si>
  <si>
    <t>Edivania</t>
  </si>
  <si>
    <t>Felipe</t>
  </si>
  <si>
    <t>João Moura</t>
  </si>
  <si>
    <t>Renata</t>
  </si>
  <si>
    <t>Ana Paula</t>
  </si>
  <si>
    <t>Elaine</t>
  </si>
  <si>
    <t>Nedina</t>
  </si>
  <si>
    <t>Maria</t>
  </si>
  <si>
    <t>Vanda</t>
  </si>
  <si>
    <t>Vanilda</t>
  </si>
  <si>
    <t>Larissa</t>
  </si>
  <si>
    <t>Cleisson</t>
  </si>
  <si>
    <t>Lidinha</t>
  </si>
  <si>
    <t>Bianca</t>
  </si>
  <si>
    <t>Sthefany</t>
  </si>
  <si>
    <t>Graciele</t>
  </si>
  <si>
    <t>Uslei</t>
  </si>
  <si>
    <t>Luiz</t>
  </si>
  <si>
    <t>Sueli</t>
  </si>
  <si>
    <t>Militina</t>
  </si>
  <si>
    <t>Rogério</t>
  </si>
  <si>
    <t>Margarida</t>
  </si>
  <si>
    <t>Diva</t>
  </si>
  <si>
    <t>Lourdes</t>
  </si>
  <si>
    <t>Mês</t>
  </si>
  <si>
    <t>Dezembro</t>
  </si>
  <si>
    <t>Abril</t>
  </si>
  <si>
    <t>Maio</t>
  </si>
  <si>
    <t>Soma de Taxa Cartão</t>
  </si>
  <si>
    <t>Alessandro</t>
  </si>
  <si>
    <t>Leandro</t>
  </si>
  <si>
    <t>Alexsandra</t>
  </si>
  <si>
    <t>André</t>
  </si>
  <si>
    <t>Wemerson</t>
  </si>
  <si>
    <t>Nair</t>
  </si>
  <si>
    <t>Antôniio</t>
  </si>
  <si>
    <t>Cintia</t>
  </si>
  <si>
    <t>José Donizete</t>
  </si>
  <si>
    <t>Ronaldo</t>
  </si>
  <si>
    <t xml:space="preserve">Carolina </t>
  </si>
  <si>
    <t>Maria Aparecida</t>
  </si>
  <si>
    <t>Seluta</t>
  </si>
  <si>
    <t>Helvécio</t>
  </si>
  <si>
    <t>Kéven</t>
  </si>
  <si>
    <t>Maria Helena</t>
  </si>
  <si>
    <t>Ivani</t>
  </si>
  <si>
    <t>Geraldo</t>
  </si>
  <si>
    <t>Frank</t>
  </si>
  <si>
    <t>Ester</t>
  </si>
  <si>
    <t>Maria Conceição</t>
  </si>
  <si>
    <t>Soroterapia</t>
  </si>
  <si>
    <t>Yure</t>
  </si>
  <si>
    <t>Mônica</t>
  </si>
  <si>
    <t>Victor</t>
  </si>
  <si>
    <t>Enir</t>
  </si>
  <si>
    <t>Vicente</t>
  </si>
  <si>
    <t>Odete</t>
  </si>
  <si>
    <t>Nadir</t>
  </si>
  <si>
    <t>Ilda</t>
  </si>
  <si>
    <t>Neire</t>
  </si>
  <si>
    <t>Filomena</t>
  </si>
  <si>
    <t>Oldair</t>
  </si>
  <si>
    <t>Regiane</t>
  </si>
  <si>
    <t>Maiara</t>
  </si>
  <si>
    <t>Rosimeire</t>
  </si>
  <si>
    <t>Edna</t>
  </si>
  <si>
    <t>Adelson</t>
  </si>
  <si>
    <t>Adelmo</t>
  </si>
  <si>
    <t xml:space="preserve">Vaneide </t>
  </si>
  <si>
    <t>Hermelinda</t>
  </si>
  <si>
    <t>Celina</t>
  </si>
  <si>
    <t>Maria Moura</t>
  </si>
  <si>
    <t>Lucas</t>
  </si>
  <si>
    <t>Carlos Roberto</t>
  </si>
  <si>
    <t>Eliseu</t>
  </si>
  <si>
    <t>Geralda</t>
  </si>
  <si>
    <t>Izabely</t>
  </si>
  <si>
    <t>Fabiane</t>
  </si>
  <si>
    <t>Leopoldina</t>
  </si>
  <si>
    <t>Erica</t>
  </si>
  <si>
    <t>Elisangela</t>
  </si>
  <si>
    <t>Sirlene</t>
  </si>
  <si>
    <t>Kyvia</t>
  </si>
  <si>
    <t>Ronier</t>
  </si>
  <si>
    <t>Gilmar</t>
  </si>
  <si>
    <t>Maria Borges</t>
  </si>
  <si>
    <t>Evellyn</t>
  </si>
  <si>
    <t>Graciete</t>
  </si>
  <si>
    <t>Manuela</t>
  </si>
  <si>
    <t>Hélio</t>
  </si>
  <si>
    <t>Cecília</t>
  </si>
  <si>
    <t>Lenita</t>
  </si>
  <si>
    <t>Carlos</t>
  </si>
  <si>
    <t>Gerônimo</t>
  </si>
  <si>
    <t>Sônia</t>
  </si>
  <si>
    <t>Hegon</t>
  </si>
  <si>
    <t>sculptra</t>
  </si>
  <si>
    <t>preenchimento</t>
  </si>
  <si>
    <t>José</t>
  </si>
  <si>
    <t>Timóteo</t>
  </si>
  <si>
    <t>Valdeci</t>
  </si>
  <si>
    <t>Ana Carolina</t>
  </si>
  <si>
    <t>Samuel</t>
  </si>
  <si>
    <t>Ana Maria</t>
  </si>
  <si>
    <t>Henrique</t>
  </si>
  <si>
    <t>Joaquim</t>
  </si>
  <si>
    <t>Miriam</t>
  </si>
  <si>
    <t>Antônio José</t>
  </si>
  <si>
    <t>Eliani</t>
  </si>
  <si>
    <t>Rosângela</t>
  </si>
  <si>
    <t>Helaine</t>
  </si>
  <si>
    <t>Lucy</t>
  </si>
  <si>
    <t>Carieli</t>
  </si>
  <si>
    <t xml:space="preserve">Helio  </t>
  </si>
  <si>
    <t>José Adão</t>
  </si>
  <si>
    <t>Vendas</t>
  </si>
  <si>
    <t>Jessica</t>
  </si>
  <si>
    <t>Junho</t>
  </si>
  <si>
    <t>Agosto</t>
  </si>
  <si>
    <t>Setembro</t>
  </si>
  <si>
    <t>2024</t>
  </si>
  <si>
    <t>2025</t>
  </si>
  <si>
    <t>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</si>
</sst>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1" applyFont="1"/>
    <xf numFmtId="9" fontId="0" fillId="0" borderId="0" xfId="2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2" fillId="2" borderId="0" xfId="0" applyFont="1" applyFill="1"/>
  </cellXfs>
  <cellStyles count="3">
    <cellStyle name="Moeda" xfId="1" builtinId="4"/>
    <cellStyle name="Normal" xfId="0" builtinId="0"/>
    <cellStyle name="Porcentagem" xfId="2" builtinId="5"/>
  </cellStyles>
  <dxfs count="24">
    <dxf>
      <numFmt numFmtId="0" formatCode="General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font>
        <color theme="0"/>
        <name val="Arial Black"/>
        <family val="2"/>
        <scheme val="none"/>
      </font>
      <fill>
        <patternFill patternType="solid">
          <fgColor theme="1"/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theme="0"/>
        <name val="Arial Black"/>
        <family val="2"/>
        <scheme val="none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Light1 2" pivot="0" table="0" count="10" xr9:uid="{E2620D4F-F555-451F-8476-109A24DC673F}">
      <tableStyleElement type="wholeTable" dxfId="23"/>
      <tableStyleElement type="headerRow" dxfId="22"/>
    </tableStyle>
    <tableStyle name="SlicerStyleLight1 2 2" pivot="0" table="0" count="10" xr9:uid="{CB5EF7CE-BEF2-40B6-8566-B45AE0D161A6}">
      <tableStyleElement type="wholeTable" dxfId="21"/>
      <tableStyleElement type="headerRow" dxfId="20"/>
    </tableStyle>
  </tableStyle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rgb="FF000000"/>
            <name val="Calibri Light"/>
            <family val="2"/>
            <scheme val="major"/>
          </font>
          <fill>
            <patternFill patternType="solid">
              <fgColor theme="4" tint="0.59999389629810485"/>
              <bgColor theme="7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07/relationships/slicerCache" Target="slicerCaches/slicerCache7.xml"/><Relationship Id="rId5" Type="http://schemas.microsoft.com/office/2007/relationships/slicerCache" Target="slicerCaches/slicerCache1.xml"/><Relationship Id="rId15" Type="http://schemas.openxmlformats.org/officeDocument/2006/relationships/calcChain" Target="calcChain.xml"/><Relationship Id="rId10" Type="http://schemas.microsoft.com/office/2007/relationships/slicerCache" Target="slicerCaches/slicerCache6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dash_vendas.xlsx]Tabela Dinamica!Tabela dinâmica12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6">
                    <a:lumMod val="5000"/>
                    <a:lumOff val="95000"/>
                  </a:schemeClr>
                </a:gs>
                <a:gs pos="74000">
                  <a:schemeClr val="accent6">
                    <a:lumMod val="45000"/>
                    <a:lumOff val="55000"/>
                  </a:schemeClr>
                </a:gs>
                <a:gs pos="83000">
                  <a:schemeClr val="accent6">
                    <a:lumMod val="45000"/>
                    <a:lumOff val="55000"/>
                  </a:schemeClr>
                </a:gs>
                <a:gs pos="100000">
                  <a:schemeClr val="accent6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Dinamica'!$A$4:$A$10</c:f>
              <c:strCache>
                <c:ptCount val="6"/>
                <c:pt idx="0">
                  <c:v>Dezembro</c:v>
                </c:pt>
                <c:pt idx="1">
                  <c:v>Abril</c:v>
                </c:pt>
                <c:pt idx="2">
                  <c:v>Maio</c:v>
                </c:pt>
                <c:pt idx="3">
                  <c:v>Junho</c:v>
                </c:pt>
                <c:pt idx="4">
                  <c:v>Agosto</c:v>
                </c:pt>
                <c:pt idx="5">
                  <c:v>Setembro</c:v>
                </c:pt>
              </c:strCache>
            </c:strRef>
          </c:cat>
          <c:val>
            <c:numRef>
              <c:f>'Tabela Dinamica'!$B$4:$B$10</c:f>
              <c:numCache>
                <c:formatCode>_("R$"* #,##0.00_);_("R$"* \(#,##0.00\);_("R$"* "-"??_);_(@_)</c:formatCode>
                <c:ptCount val="6"/>
                <c:pt idx="0">
                  <c:v>66850</c:v>
                </c:pt>
                <c:pt idx="1">
                  <c:v>184800</c:v>
                </c:pt>
                <c:pt idx="2">
                  <c:v>149540</c:v>
                </c:pt>
                <c:pt idx="3">
                  <c:v>85270</c:v>
                </c:pt>
                <c:pt idx="4">
                  <c:v>124655</c:v>
                </c:pt>
                <c:pt idx="5">
                  <c:v>37051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C-48D9-90F9-A39DDCFB57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008959"/>
        <c:axId val="1834017119"/>
      </c:lineChart>
      <c:catAx>
        <c:axId val="183400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017119"/>
        <c:crosses val="autoZero"/>
        <c:auto val="1"/>
        <c:lblAlgn val="ctr"/>
        <c:lblOffset val="100"/>
        <c:noMultiLvlLbl val="0"/>
      </c:catAx>
      <c:valAx>
        <c:axId val="1834017119"/>
        <c:scaling>
          <c:orientation val="minMax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00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dash_vendas.xlsx]Tabela Dinamica!Tabela dinâmica13</c:name>
    <c:fmtId val="2"/>
  </c:pivotSource>
  <c:chart>
    <c:autoTitleDeleted val="1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</a:schemeClr>
          </a:solidFill>
          <a:ln cap="rnd">
            <a:gradFill flip="none" rotWithShape="1">
              <a:gsLst>
                <a:gs pos="6000">
                  <a:schemeClr val="accent5">
                    <a:lumMod val="40000"/>
                    <a:lumOff val="60000"/>
                  </a:schemeClr>
                </a:gs>
                <a:gs pos="45000">
                  <a:schemeClr val="accent5">
                    <a:lumMod val="95000"/>
                    <a:lumOff val="5000"/>
                  </a:schemeClr>
                </a:gs>
                <a:gs pos="100000">
                  <a:schemeClr val="accent5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  <a:miter lim="800000"/>
          </a:ln>
          <a:effectLst>
            <a:softEdge rad="76200"/>
          </a:effectLst>
          <a:scene3d>
            <a:camera prst="orthographicFront"/>
            <a:lightRig rig="threePt" dir="t"/>
          </a:scene3d>
          <a:sp3d>
            <a:bevelT w="165100" prst="coolSlant"/>
            <a:bevelB w="50800" h="0" prst="softRound"/>
          </a:sp3d>
        </c:spPr>
        <c:marker>
          <c:symbol val="none"/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-2220000" spcFirstLastPara="1" vertOverflow="ellipsis" vert="horz" wrap="square" lIns="72000" tIns="0" rIns="0" bIns="0" anchor="ctr" anchorCtr="0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cap="rnd">
              <a:gradFill flip="none" rotWithShape="1">
                <a:gsLst>
                  <a:gs pos="6000">
                    <a:schemeClr val="accent5">
                      <a:lumMod val="40000"/>
                      <a:lumOff val="60000"/>
                    </a:schemeClr>
                  </a:gs>
                  <a:gs pos="45000">
                    <a:schemeClr val="accent5">
                      <a:lumMod val="95000"/>
                      <a:lumOff val="5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miter lim="800000"/>
            </a:ln>
            <a:effectLst>
              <a:softEdge rad="76200"/>
            </a:effectLst>
            <a:scene3d>
              <a:camera prst="orthographicFront"/>
              <a:lightRig rig="threePt" dir="t"/>
            </a:scene3d>
            <a:sp3d>
              <a:bevelT w="165100" prst="coolSlant"/>
              <a:bevelB w="50800" h="0" prst="softRound"/>
            </a:sp3d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2220000" spcFirstLastPara="1" vertOverflow="ellipsis" vert="horz" wrap="square" lIns="72000" tIns="0" rIns="0" bIns="0" anchor="ctr" anchorCtr="0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'Tabela Dinamica'!$A$20:$A$48</c:f>
              <c:strCache>
                <c:ptCount val="28"/>
                <c:pt idx="0">
                  <c:v>Chrome</c:v>
                </c:pt>
                <c:pt idx="1">
                  <c:v>Blefaroplastia</c:v>
                </c:pt>
                <c:pt idx="2">
                  <c:v>Consulta</c:v>
                </c:pt>
                <c:pt idx="3">
                  <c:v>Transplante</c:v>
                </c:pt>
                <c:pt idx="4">
                  <c:v>Biopsia</c:v>
                </c:pt>
                <c:pt idx="5">
                  <c:v>Plasma</c:v>
                </c:pt>
                <c:pt idx="6">
                  <c:v>Hegon</c:v>
                </c:pt>
                <c:pt idx="7">
                  <c:v>Botox</c:v>
                </c:pt>
                <c:pt idx="8">
                  <c:v>Cirurgia P</c:v>
                </c:pt>
                <c:pt idx="9">
                  <c:v>Pacote Chrome</c:v>
                </c:pt>
                <c:pt idx="10">
                  <c:v>Ultraforme/Sculptra</c:v>
                </c:pt>
                <c:pt idx="11">
                  <c:v>Nitrogênio</c:v>
                </c:pt>
                <c:pt idx="12">
                  <c:v>Ultraforme</c:v>
                </c:pt>
                <c:pt idx="13">
                  <c:v>Preenchimento/Botox</c:v>
                </c:pt>
                <c:pt idx="14">
                  <c:v>Sculptra</c:v>
                </c:pt>
                <c:pt idx="15">
                  <c:v>Pacote Vip</c:v>
                </c:pt>
                <c:pt idx="16">
                  <c:v>Vitamina</c:v>
                </c:pt>
                <c:pt idx="17">
                  <c:v>Preenchimento</c:v>
                </c:pt>
                <c:pt idx="18">
                  <c:v>Avaliação</c:v>
                </c:pt>
                <c:pt idx="19">
                  <c:v>Ninfloplastia</c:v>
                </c:pt>
                <c:pt idx="20">
                  <c:v>Glúteo</c:v>
                </c:pt>
                <c:pt idx="21">
                  <c:v>Sculptra/Botox</c:v>
                </c:pt>
                <c:pt idx="22">
                  <c:v>Cirurgia/procedimentos</c:v>
                </c:pt>
                <c:pt idx="23">
                  <c:v>Soroterapia</c:v>
                </c:pt>
                <c:pt idx="24">
                  <c:v>Laser Intimo</c:v>
                </c:pt>
                <c:pt idx="25">
                  <c:v>Crio cirurgia</c:v>
                </c:pt>
                <c:pt idx="26">
                  <c:v>Apl. Minoxidil</c:v>
                </c:pt>
                <c:pt idx="27">
                  <c:v>Remoção Tatoo</c:v>
                </c:pt>
              </c:strCache>
            </c:strRef>
          </c:cat>
          <c:val>
            <c:numRef>
              <c:f>'Tabela Dinamica'!$B$20:$B$48</c:f>
              <c:numCache>
                <c:formatCode>_("R$"* #,##0.00_);_("R$"* \(#,##0.00\);_("R$"* "-"??_);_(@_)</c:formatCode>
                <c:ptCount val="28"/>
                <c:pt idx="0">
                  <c:v>232200</c:v>
                </c:pt>
                <c:pt idx="1">
                  <c:v>73410</c:v>
                </c:pt>
                <c:pt idx="2">
                  <c:v>56510</c:v>
                </c:pt>
                <c:pt idx="3">
                  <c:v>38201</c:v>
                </c:pt>
                <c:pt idx="4">
                  <c:v>25940</c:v>
                </c:pt>
                <c:pt idx="5">
                  <c:v>24800</c:v>
                </c:pt>
                <c:pt idx="6">
                  <c:v>23300</c:v>
                </c:pt>
                <c:pt idx="7">
                  <c:v>20900</c:v>
                </c:pt>
                <c:pt idx="8">
                  <c:v>20700</c:v>
                </c:pt>
                <c:pt idx="9">
                  <c:v>17800</c:v>
                </c:pt>
                <c:pt idx="10">
                  <c:v>15150</c:v>
                </c:pt>
                <c:pt idx="11">
                  <c:v>13180</c:v>
                </c:pt>
                <c:pt idx="12">
                  <c:v>12800</c:v>
                </c:pt>
                <c:pt idx="13">
                  <c:v>12650</c:v>
                </c:pt>
                <c:pt idx="14">
                  <c:v>11650</c:v>
                </c:pt>
                <c:pt idx="15">
                  <c:v>10000</c:v>
                </c:pt>
                <c:pt idx="16">
                  <c:v>6125</c:v>
                </c:pt>
                <c:pt idx="17">
                  <c:v>6000</c:v>
                </c:pt>
                <c:pt idx="18">
                  <c:v>5920</c:v>
                </c:pt>
                <c:pt idx="19">
                  <c:v>4000</c:v>
                </c:pt>
                <c:pt idx="20">
                  <c:v>3600</c:v>
                </c:pt>
                <c:pt idx="21">
                  <c:v>3000</c:v>
                </c:pt>
                <c:pt idx="22">
                  <c:v>3000</c:v>
                </c:pt>
                <c:pt idx="23">
                  <c:v>2380</c:v>
                </c:pt>
                <c:pt idx="24">
                  <c:v>1500</c:v>
                </c:pt>
                <c:pt idx="25">
                  <c:v>1500</c:v>
                </c:pt>
                <c:pt idx="26">
                  <c:v>1450</c:v>
                </c:pt>
                <c:pt idx="2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1-43A7-B294-E75A48F7C0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2"/>
        <c:axId val="539431695"/>
        <c:axId val="539432655"/>
      </c:barChart>
      <c:catAx>
        <c:axId val="53943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432655"/>
        <c:crosses val="autoZero"/>
        <c:auto val="1"/>
        <c:lblAlgn val="ctr"/>
        <c:lblOffset val="100"/>
        <c:noMultiLvlLbl val="0"/>
      </c:catAx>
      <c:valAx>
        <c:axId val="539432655"/>
        <c:scaling>
          <c:logBase val="20"/>
          <c:orientation val="minMax"/>
          <c:min val="1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943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dash_vendas.xlsx]Tabela Dinamica!Tabela dinâmica17</c:name>
    <c:fmtId val="1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651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Dinamica'!$E$10:$E$16</c:f>
              <c:strCache>
                <c:ptCount val="6"/>
                <c:pt idx="0">
                  <c:v>Dezembro</c:v>
                </c:pt>
                <c:pt idx="1">
                  <c:v>Abril</c:v>
                </c:pt>
                <c:pt idx="2">
                  <c:v>Maio</c:v>
                </c:pt>
                <c:pt idx="3">
                  <c:v>Junho</c:v>
                </c:pt>
                <c:pt idx="4">
                  <c:v>Agosto</c:v>
                </c:pt>
                <c:pt idx="5">
                  <c:v>Setembro</c:v>
                </c:pt>
              </c:strCache>
            </c:strRef>
          </c:cat>
          <c:val>
            <c:numRef>
              <c:f>'Tabela Dinamica'!$F$10:$F$16</c:f>
              <c:numCache>
                <c:formatCode>_("R$"* #,##0.00_);_("R$"* \(#,##0.00\);_("R$"* "-"??_);_(@_)</c:formatCode>
                <c:ptCount val="6"/>
                <c:pt idx="1">
                  <c:v>14818.637433691752</c:v>
                </c:pt>
                <c:pt idx="2">
                  <c:v>10172.320000000002</c:v>
                </c:pt>
                <c:pt idx="3">
                  <c:v>3014.9</c:v>
                </c:pt>
                <c:pt idx="4">
                  <c:v>4987.7199999999993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0-4988-B272-F1968FD00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0977440"/>
        <c:axId val="1090976000"/>
      </c:barChart>
      <c:catAx>
        <c:axId val="109097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976000"/>
        <c:crosses val="autoZero"/>
        <c:auto val="1"/>
        <c:lblAlgn val="ctr"/>
        <c:lblOffset val="100"/>
        <c:noMultiLvlLbl val="0"/>
      </c:catAx>
      <c:valAx>
        <c:axId val="1090976000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97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</xdr:row>
      <xdr:rowOff>66673</xdr:rowOff>
    </xdr:from>
    <xdr:to>
      <xdr:col>28</xdr:col>
      <xdr:colOff>567652</xdr:colOff>
      <xdr:row>45</xdr:row>
      <xdr:rowOff>57727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8AF99903-183E-4A3D-B138-2994D5FB2106}"/>
            </a:ext>
          </a:extLst>
        </xdr:cNvPr>
        <xdr:cNvSpPr/>
      </xdr:nvSpPr>
      <xdr:spPr>
        <a:xfrm>
          <a:off x="209550" y="1221218"/>
          <a:ext cx="17329920" cy="7495600"/>
        </a:xfrm>
        <a:prstGeom prst="roundRect">
          <a:avLst>
            <a:gd name="adj" fmla="val 0"/>
          </a:avLst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8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190500</xdr:colOff>
      <xdr:row>0</xdr:row>
      <xdr:rowOff>104775</xdr:rowOff>
    </xdr:from>
    <xdr:to>
      <xdr:col>28</xdr:col>
      <xdr:colOff>571500</xdr:colOff>
      <xdr:row>6</xdr:row>
      <xdr:rowOff>38100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B54AA33-6D75-C040-254E-CA04FF3D8625}"/>
            </a:ext>
          </a:extLst>
        </xdr:cNvPr>
        <xdr:cNvSpPr/>
      </xdr:nvSpPr>
      <xdr:spPr>
        <a:xfrm>
          <a:off x="190500" y="104775"/>
          <a:ext cx="17449800" cy="1076325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b="1">
              <a:latin typeface="Arial Black" panose="020B0A04020102020204" pitchFamily="34" charset="0"/>
            </a:rPr>
            <a:t>RELATÓRIO DE VENDAS</a:t>
          </a:r>
        </a:p>
      </xdr:txBody>
    </xdr:sp>
    <xdr:clientData/>
  </xdr:twoCellAnchor>
  <xdr:twoCellAnchor editAs="oneCell">
    <xdr:from>
      <xdr:col>0</xdr:col>
      <xdr:colOff>306820</xdr:colOff>
      <xdr:row>23</xdr:row>
      <xdr:rowOff>85339</xdr:rowOff>
    </xdr:from>
    <xdr:to>
      <xdr:col>3</xdr:col>
      <xdr:colOff>306820</xdr:colOff>
      <xdr:row>28</xdr:row>
      <xdr:rowOff>56764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dedor">
              <a:extLst>
                <a:ext uri="{FF2B5EF4-FFF2-40B4-BE49-F238E27FC236}">
                  <a16:creationId xmlns:a16="http://schemas.microsoft.com/office/drawing/2014/main" id="{10A85C2C-0D2F-492A-BB54-B06CF1CED2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820" y="4511097"/>
              <a:ext cx="1818409" cy="9335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23956</xdr:colOff>
      <xdr:row>0</xdr:row>
      <xdr:rowOff>114203</xdr:rowOff>
    </xdr:from>
    <xdr:to>
      <xdr:col>21</xdr:col>
      <xdr:colOff>325294</xdr:colOff>
      <xdr:row>5</xdr:row>
      <xdr:rowOff>142778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ês">
              <a:extLst>
                <a:ext uri="{FF2B5EF4-FFF2-40B4-BE49-F238E27FC236}">
                  <a16:creationId xmlns:a16="http://schemas.microsoft.com/office/drawing/2014/main" id="{E3E507B4-26A7-488F-81FC-75307E40D8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3729" y="114203"/>
              <a:ext cx="5150429" cy="9906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391776</xdr:colOff>
      <xdr:row>0</xdr:row>
      <xdr:rowOff>124113</xdr:rowOff>
    </xdr:from>
    <xdr:to>
      <xdr:col>28</xdr:col>
      <xdr:colOff>529167</xdr:colOff>
      <xdr:row>41</xdr:row>
      <xdr:rowOff>144319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cedimento">
              <a:extLst>
                <a:ext uri="{FF2B5EF4-FFF2-40B4-BE49-F238E27FC236}">
                  <a16:creationId xmlns:a16="http://schemas.microsoft.com/office/drawing/2014/main" id="{2A6C517D-8709-4A44-8314-26A42B485F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cedi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2912" y="124113"/>
              <a:ext cx="3168073" cy="790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304896</xdr:colOff>
      <xdr:row>29</xdr:row>
      <xdr:rowOff>27324</xdr:rowOff>
    </xdr:from>
    <xdr:to>
      <xdr:col>3</xdr:col>
      <xdr:colOff>304896</xdr:colOff>
      <xdr:row>34</xdr:row>
      <xdr:rowOff>27323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dade">
              <a:extLst>
                <a:ext uri="{FF2B5EF4-FFF2-40B4-BE49-F238E27FC236}">
                  <a16:creationId xmlns:a16="http://schemas.microsoft.com/office/drawing/2014/main" id="{D4014868-344B-4BFA-96ED-E07352EDAF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96" y="5607627"/>
              <a:ext cx="1818409" cy="962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267180</xdr:colOff>
      <xdr:row>6</xdr:row>
      <xdr:rowOff>105833</xdr:rowOff>
    </xdr:from>
    <xdr:to>
      <xdr:col>3</xdr:col>
      <xdr:colOff>581505</xdr:colOff>
      <xdr:row>11</xdr:row>
      <xdr:rowOff>56283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27F57C9-EB03-582E-D526-BFC68BB70E7E}"/>
            </a:ext>
          </a:extLst>
        </xdr:cNvPr>
        <xdr:cNvGrpSpPr/>
      </xdr:nvGrpSpPr>
      <xdr:grpSpPr>
        <a:xfrm>
          <a:off x="267180" y="1260378"/>
          <a:ext cx="2132734" cy="912572"/>
          <a:chOff x="6191250" y="1609725"/>
          <a:chExt cx="2667000" cy="990600"/>
        </a:xfrm>
      </xdr:grpSpPr>
      <xdr:sp macro="" textlink="'Tabela Dinamica'!E4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17F91D2A-E86F-2185-89A4-A5791F9883E4}"/>
              </a:ext>
            </a:extLst>
          </xdr:cNvPr>
          <xdr:cNvSpPr/>
        </xdr:nvSpPr>
        <xdr:spPr>
          <a:xfrm>
            <a:off x="6191250" y="1609725"/>
            <a:ext cx="2667000" cy="990600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5FC25B5-A6DC-4F7D-8E6A-96CF19F5E8CC}" type="TxLink">
              <a:rPr lang="en-US" sz="1800" b="1" i="0" u="none" strike="noStrike">
                <a:solidFill>
                  <a:sysClr val="windowText" lastClr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pPr algn="ctr"/>
              <a:t> R$ 648.166,00 </a:t>
            </a:fld>
            <a:endParaRPr lang="pt-BR" sz="1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517D3F81-FE1B-1508-E59E-6410401237BC}"/>
              </a:ext>
            </a:extLst>
          </xdr:cNvPr>
          <xdr:cNvSpPr txBox="1"/>
        </xdr:nvSpPr>
        <xdr:spPr>
          <a:xfrm>
            <a:off x="6638925" y="2114550"/>
            <a:ext cx="170497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latin typeface="Arial" panose="020B0604020202020204" pitchFamily="34" charset="0"/>
                <a:cs typeface="Arial" panose="020B0604020202020204" pitchFamily="34" charset="0"/>
              </a:rPr>
              <a:t>Total de Vendas</a:t>
            </a:r>
          </a:p>
        </xdr:txBody>
      </xdr:sp>
    </xdr:grpSp>
    <xdr:clientData/>
  </xdr:twoCellAnchor>
  <xdr:twoCellAnchor>
    <xdr:from>
      <xdr:col>0</xdr:col>
      <xdr:colOff>238413</xdr:colOff>
      <xdr:row>17</xdr:row>
      <xdr:rowOff>124788</xdr:rowOff>
    </xdr:from>
    <xdr:to>
      <xdr:col>3</xdr:col>
      <xdr:colOff>543213</xdr:colOff>
      <xdr:row>22</xdr:row>
      <xdr:rowOff>75239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6BBBB50B-3087-44E6-AA6F-D04FE878C621}"/>
            </a:ext>
          </a:extLst>
        </xdr:cNvPr>
        <xdr:cNvGrpSpPr/>
      </xdr:nvGrpSpPr>
      <xdr:grpSpPr>
        <a:xfrm>
          <a:off x="238413" y="3396000"/>
          <a:ext cx="2123209" cy="912572"/>
          <a:chOff x="6191250" y="1609725"/>
          <a:chExt cx="2667000" cy="990600"/>
        </a:xfrm>
      </xdr:grpSpPr>
      <xdr:sp macro="" textlink="'Tabela Dinamica'!E7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A0C83C9-991C-25B6-235B-245DDEDA5600}"/>
              </a:ext>
            </a:extLst>
          </xdr:cNvPr>
          <xdr:cNvSpPr/>
        </xdr:nvSpPr>
        <xdr:spPr>
          <a:xfrm>
            <a:off x="6191250" y="1609725"/>
            <a:ext cx="2667000" cy="990600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679A25AE-481C-49FC-92EA-2406EECB4B0B}" type="TxLink">
              <a:rPr lang="en-US" sz="1800" b="1" i="0" u="none" strike="noStrike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pPr algn="ctr"/>
              <a:t> R$ 19.444,98 </a:t>
            </a:fld>
            <a:endParaRPr lang="pt-BR" sz="1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F387FB39-1A18-CD06-DBCA-2D89C9423C12}"/>
              </a:ext>
            </a:extLst>
          </xdr:cNvPr>
          <xdr:cNvSpPr txBox="1"/>
        </xdr:nvSpPr>
        <xdr:spPr>
          <a:xfrm>
            <a:off x="6488906" y="2083268"/>
            <a:ext cx="196446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BR" sz="1100" b="1">
                <a:latin typeface="Arial" panose="020B0604020202020204" pitchFamily="34" charset="0"/>
                <a:cs typeface="Arial" panose="020B0604020202020204" pitchFamily="34" charset="0"/>
              </a:rPr>
              <a:t>Total de Comissões</a:t>
            </a:r>
          </a:p>
        </xdr:txBody>
      </xdr:sp>
    </xdr:grpSp>
    <xdr:clientData/>
  </xdr:twoCellAnchor>
  <xdr:twoCellAnchor>
    <xdr:from>
      <xdr:col>8</xdr:col>
      <xdr:colOff>381000</xdr:colOff>
      <xdr:row>8</xdr:row>
      <xdr:rowOff>114300</xdr:rowOff>
    </xdr:from>
    <xdr:to>
      <xdr:col>13</xdr:col>
      <xdr:colOff>66675</xdr:colOff>
      <xdr:row>9</xdr:row>
      <xdr:rowOff>171450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753A3633-95ED-B2E5-8A98-5EF69C6C9111}"/>
            </a:ext>
          </a:extLst>
        </xdr:cNvPr>
        <xdr:cNvSpPr/>
      </xdr:nvSpPr>
      <xdr:spPr>
        <a:xfrm>
          <a:off x="5257800" y="1638300"/>
          <a:ext cx="2733675" cy="247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Faturamento Anual</a:t>
          </a:r>
        </a:p>
      </xdr:txBody>
    </xdr:sp>
    <xdr:clientData/>
  </xdr:twoCellAnchor>
  <xdr:twoCellAnchor>
    <xdr:from>
      <xdr:col>4</xdr:col>
      <xdr:colOff>54551</xdr:colOff>
      <xdr:row>6</xdr:row>
      <xdr:rowOff>104873</xdr:rowOff>
    </xdr:from>
    <xdr:to>
      <xdr:col>22</xdr:col>
      <xdr:colOff>460663</xdr:colOff>
      <xdr:row>26</xdr:row>
      <xdr:rowOff>85823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831C2D67-B763-4C5C-8BF0-923DDFAE1B60}"/>
            </a:ext>
          </a:extLst>
        </xdr:cNvPr>
        <xdr:cNvSpPr/>
      </xdr:nvSpPr>
      <xdr:spPr>
        <a:xfrm>
          <a:off x="2479096" y="1259418"/>
          <a:ext cx="11316567" cy="382943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0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twoCellAnchor>
  <xdr:twoCellAnchor>
    <xdr:from>
      <xdr:col>4</xdr:col>
      <xdr:colOff>236103</xdr:colOff>
      <xdr:row>26</xdr:row>
      <xdr:rowOff>142586</xdr:rowOff>
    </xdr:from>
    <xdr:to>
      <xdr:col>13</xdr:col>
      <xdr:colOff>321828</xdr:colOff>
      <xdr:row>40</xdr:row>
      <xdr:rowOff>173085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C9706F43-AD3E-A5AF-B3D2-7F8367C31C3A}"/>
            </a:ext>
          </a:extLst>
        </xdr:cNvPr>
        <xdr:cNvGrpSpPr/>
      </xdr:nvGrpSpPr>
      <xdr:grpSpPr>
        <a:xfrm>
          <a:off x="2660648" y="5145616"/>
          <a:ext cx="5540953" cy="2724439"/>
          <a:chOff x="4095749" y="5124450"/>
          <a:chExt cx="5781675" cy="2695575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91C65B0D-5A6E-1562-45FF-7F9A9D70AF7F}"/>
              </a:ext>
            </a:extLst>
          </xdr:cNvPr>
          <xdr:cNvGrpSpPr/>
        </xdr:nvGrpSpPr>
        <xdr:grpSpPr>
          <a:xfrm>
            <a:off x="4095749" y="5124450"/>
            <a:ext cx="5781675" cy="2695575"/>
            <a:chOff x="3867149" y="1619250"/>
            <a:chExt cx="5781675" cy="3143250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A43BED06-BEBD-458B-255B-B8E90C2922C4}"/>
                </a:ext>
              </a:extLst>
            </xdr:cNvPr>
            <xdr:cNvSpPr/>
          </xdr:nvSpPr>
          <xdr:spPr>
            <a:xfrm>
              <a:off x="3867149" y="1619250"/>
              <a:ext cx="5781675" cy="3143250"/>
            </a:xfrm>
            <a:prstGeom prst="round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0" cap="none" spc="0">
                <a:ln w="0"/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endParaRPr>
            </a:p>
          </xdr:txBody>
        </xdr:sp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7C850127-552C-4873-B92C-F29ACDE0CBC8}"/>
                </a:ext>
              </a:extLst>
            </xdr:cNvPr>
            <xdr:cNvGraphicFramePr>
              <a:graphicFrameLocks/>
            </xdr:cNvGraphicFramePr>
          </xdr:nvGraphicFramePr>
          <xdr:xfrm>
            <a:off x="4095749" y="1866898"/>
            <a:ext cx="519112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EC8D4C9-2569-E344-2425-83AEF0368489}"/>
              </a:ext>
            </a:extLst>
          </xdr:cNvPr>
          <xdr:cNvSpPr/>
        </xdr:nvSpPr>
        <xdr:spPr>
          <a:xfrm>
            <a:off x="6238875" y="5143499"/>
            <a:ext cx="1914525" cy="2762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Faturamento</a:t>
            </a:r>
            <a:r>
              <a:rPr lang="pt-BR" sz="11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Anual</a:t>
            </a:r>
            <a:endParaRPr lang="pt-BR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4</xdr:col>
      <xdr:colOff>208397</xdr:colOff>
      <xdr:row>6</xdr:row>
      <xdr:rowOff>171834</xdr:rowOff>
    </xdr:from>
    <xdr:to>
      <xdr:col>22</xdr:col>
      <xdr:colOff>17897</xdr:colOff>
      <xdr:row>26</xdr:row>
      <xdr:rowOff>38485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43B624F5-A6B8-6A57-C144-EBAD955B29AD}"/>
            </a:ext>
          </a:extLst>
        </xdr:cNvPr>
        <xdr:cNvGrpSpPr/>
      </xdr:nvGrpSpPr>
      <xdr:grpSpPr>
        <a:xfrm>
          <a:off x="2632942" y="1326379"/>
          <a:ext cx="10719955" cy="3715136"/>
          <a:chOff x="3960669" y="1287894"/>
          <a:chExt cx="10719955" cy="3715136"/>
        </a:xfrm>
      </xdr:grpSpPr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8455AF04-B6F4-43E6-A401-9AF2C03FE69E}"/>
              </a:ext>
            </a:extLst>
          </xdr:cNvPr>
          <xdr:cNvGraphicFramePr>
            <a:graphicFrameLocks/>
          </xdr:cNvGraphicFramePr>
        </xdr:nvGraphicFramePr>
        <xdr:xfrm>
          <a:off x="3960669" y="1306945"/>
          <a:ext cx="10719955" cy="36960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423215C6-522B-4CC3-8BFE-D090A99CD650}"/>
              </a:ext>
            </a:extLst>
          </xdr:cNvPr>
          <xdr:cNvSpPr/>
        </xdr:nvSpPr>
        <xdr:spPr>
          <a:xfrm>
            <a:off x="8790709" y="1287894"/>
            <a:ext cx="3389168" cy="280074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Faturamento</a:t>
            </a:r>
            <a:r>
              <a:rPr lang="pt-BR" sz="11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Por Procedimento</a:t>
            </a:r>
            <a:endParaRPr lang="pt-BR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248036</xdr:colOff>
      <xdr:row>11</xdr:row>
      <xdr:rowOff>181549</xdr:rowOff>
    </xdr:from>
    <xdr:to>
      <xdr:col>3</xdr:col>
      <xdr:colOff>552836</xdr:colOff>
      <xdr:row>16</xdr:row>
      <xdr:rowOff>133925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D4B107BD-3585-44AD-BC2C-695824CF9362}"/>
            </a:ext>
          </a:extLst>
        </xdr:cNvPr>
        <xdr:cNvGrpSpPr/>
      </xdr:nvGrpSpPr>
      <xdr:grpSpPr>
        <a:xfrm>
          <a:off x="248036" y="2298216"/>
          <a:ext cx="2123209" cy="914497"/>
          <a:chOff x="6191250" y="1609725"/>
          <a:chExt cx="2667000" cy="990600"/>
        </a:xfrm>
      </xdr:grpSpPr>
      <xdr:sp macro="" textlink="'Tabela Dinamica'!F16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FD96C7BF-6266-100D-2253-EF7F113A791D}"/>
              </a:ext>
            </a:extLst>
          </xdr:cNvPr>
          <xdr:cNvSpPr/>
        </xdr:nvSpPr>
        <xdr:spPr>
          <a:xfrm>
            <a:off x="6191250" y="1609725"/>
            <a:ext cx="2667000" cy="990600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5AF6FC2-C582-4558-8D7F-89BD1E3E1D3A}" type="TxLink">
              <a:rPr lang="en-US" sz="1600" b="1" i="0" u="none" strike="noStrike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pPr algn="ctr"/>
              <a:t> R$ 32.993,58 </a:t>
            </a:fld>
            <a:endParaRPr lang="pt-BR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6861145-F9BA-0DA2-B599-113F6A76CE3D}"/>
              </a:ext>
            </a:extLst>
          </xdr:cNvPr>
          <xdr:cNvSpPr txBox="1"/>
        </xdr:nvSpPr>
        <xdr:spPr>
          <a:xfrm>
            <a:off x="6488906" y="2083268"/>
            <a:ext cx="196446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BR" sz="1100" b="1">
                <a:latin typeface="Arial" panose="020B0604020202020204" pitchFamily="34" charset="0"/>
                <a:cs typeface="Arial" panose="020B0604020202020204" pitchFamily="34" charset="0"/>
              </a:rPr>
              <a:t>Taxas da</a:t>
            </a:r>
            <a:r>
              <a:rPr lang="pt-BR" sz="1100" b="1" baseline="0">
                <a:latin typeface="Arial" panose="020B0604020202020204" pitchFamily="34" charset="0"/>
                <a:cs typeface="Arial" panose="020B0604020202020204" pitchFamily="34" charset="0"/>
              </a:rPr>
              <a:t> Máquina</a:t>
            </a:r>
            <a:endParaRPr lang="pt-BR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19</xdr:col>
      <xdr:colOff>590550</xdr:colOff>
      <xdr:row>28</xdr:row>
      <xdr:rowOff>19050</xdr:rowOff>
    </xdr:from>
    <xdr:to>
      <xdr:col>21</xdr:col>
      <xdr:colOff>504825</xdr:colOff>
      <xdr:row>29</xdr:row>
      <xdr:rowOff>28575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F5AD9A28-AB48-B004-9631-7647D940EDFF}"/>
            </a:ext>
          </a:extLst>
        </xdr:cNvPr>
        <xdr:cNvSpPr/>
      </xdr:nvSpPr>
      <xdr:spPr>
        <a:xfrm>
          <a:off x="12172950" y="5353050"/>
          <a:ext cx="1133475" cy="20002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581025</xdr:colOff>
      <xdr:row>39</xdr:row>
      <xdr:rowOff>28575</xdr:rowOff>
    </xdr:from>
    <xdr:to>
      <xdr:col>20</xdr:col>
      <xdr:colOff>400050</xdr:colOff>
      <xdr:row>40</xdr:row>
      <xdr:rowOff>19050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F9DBC149-717C-E9BF-B8CF-2AA11E11313F}"/>
            </a:ext>
          </a:extLst>
        </xdr:cNvPr>
        <xdr:cNvSpPr/>
      </xdr:nvSpPr>
      <xdr:spPr>
        <a:xfrm>
          <a:off x="12163425" y="7458075"/>
          <a:ext cx="428625" cy="18097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594591</xdr:colOff>
      <xdr:row>26</xdr:row>
      <xdr:rowOff>161830</xdr:rowOff>
    </xdr:from>
    <xdr:to>
      <xdr:col>22</xdr:col>
      <xdr:colOff>340880</xdr:colOff>
      <xdr:row>41</xdr:row>
      <xdr:rowOff>9429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258BE0FD-DD16-94C6-2815-021E9C8209E8}"/>
            </a:ext>
          </a:extLst>
        </xdr:cNvPr>
        <xdr:cNvGrpSpPr/>
      </xdr:nvGrpSpPr>
      <xdr:grpSpPr>
        <a:xfrm>
          <a:off x="8474364" y="5164860"/>
          <a:ext cx="5201516" cy="2733963"/>
          <a:chOff x="9888682" y="5174481"/>
          <a:chExt cx="5201516" cy="2733963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BFFCB85F-FDD6-2DE9-5829-85B46284760D}"/>
              </a:ext>
            </a:extLst>
          </xdr:cNvPr>
          <xdr:cNvSpPr/>
        </xdr:nvSpPr>
        <xdr:spPr>
          <a:xfrm>
            <a:off x="9888682" y="5174481"/>
            <a:ext cx="5201516" cy="2733963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91400CDE-DE6E-7FE5-D0F5-75BF2B18EA7C}"/>
              </a:ext>
            </a:extLst>
          </xdr:cNvPr>
          <xdr:cNvSpPr/>
        </xdr:nvSpPr>
        <xdr:spPr>
          <a:xfrm>
            <a:off x="11737704" y="5222624"/>
            <a:ext cx="1866690" cy="250292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Taxas da Máquina</a:t>
            </a:r>
          </a:p>
        </xdr:txBody>
      </xdr:sp>
    </xdr:grpSp>
    <xdr:clientData/>
  </xdr:twoCellAnchor>
  <xdr:twoCellAnchor>
    <xdr:from>
      <xdr:col>14</xdr:col>
      <xdr:colOff>293544</xdr:colOff>
      <xdr:row>27</xdr:row>
      <xdr:rowOff>123345</xdr:rowOff>
    </xdr:from>
    <xdr:to>
      <xdr:col>16</xdr:col>
      <xdr:colOff>207819</xdr:colOff>
      <xdr:row>28</xdr:row>
      <xdr:rowOff>163561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580FCB3D-7092-88E7-EFFA-B0204BFC2BBD}"/>
            </a:ext>
          </a:extLst>
        </xdr:cNvPr>
        <xdr:cNvSpPr/>
      </xdr:nvSpPr>
      <xdr:spPr>
        <a:xfrm>
          <a:off x="8779453" y="5318800"/>
          <a:ext cx="1126548" cy="23264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247074</xdr:colOff>
      <xdr:row>38</xdr:row>
      <xdr:rowOff>123248</xdr:rowOff>
    </xdr:from>
    <xdr:to>
      <xdr:col>15</xdr:col>
      <xdr:colOff>380424</xdr:colOff>
      <xdr:row>39</xdr:row>
      <xdr:rowOff>163273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9C46C8D1-CA3C-4E77-8EEF-F69F92B9FBC1}"/>
            </a:ext>
          </a:extLst>
        </xdr:cNvPr>
        <xdr:cNvSpPr/>
      </xdr:nvSpPr>
      <xdr:spPr>
        <a:xfrm>
          <a:off x="8732983" y="7435369"/>
          <a:ext cx="739486" cy="232449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509925</xdr:colOff>
      <xdr:row>28</xdr:row>
      <xdr:rowOff>38485</xdr:rowOff>
    </xdr:from>
    <xdr:to>
      <xdr:col>21</xdr:col>
      <xdr:colOff>511848</xdr:colOff>
      <xdr:row>40</xdr:row>
      <xdr:rowOff>19242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63A77D4E-3B73-4BC5-AC55-8B98055BC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373110</xdr:colOff>
      <xdr:row>0</xdr:row>
      <xdr:rowOff>112854</xdr:rowOff>
    </xdr:from>
    <xdr:to>
      <xdr:col>11</xdr:col>
      <xdr:colOff>383501</xdr:colOff>
      <xdr:row>5</xdr:row>
      <xdr:rowOff>134697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Anos (Data)">
              <a:extLst>
                <a:ext uri="{FF2B5EF4-FFF2-40B4-BE49-F238E27FC236}">
                  <a16:creationId xmlns:a16="http://schemas.microsoft.com/office/drawing/2014/main" id="{20AD310E-8422-45AD-A19E-39A1CD5596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2201" y="112854"/>
              <a:ext cx="1828800" cy="9839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3</xdr:row>
      <xdr:rowOff>76200</xdr:rowOff>
    </xdr:from>
    <xdr:to>
      <xdr:col>11</xdr:col>
      <xdr:colOff>133350</xdr:colOff>
      <xdr:row>16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aciente">
              <a:extLst>
                <a:ext uri="{FF2B5EF4-FFF2-40B4-BE49-F238E27FC236}">
                  <a16:creationId xmlns:a16="http://schemas.microsoft.com/office/drawing/2014/main" id="{B560B144-1098-AC6D-B3E2-F8A6C6F29A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c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24875" y="647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276225</xdr:colOff>
      <xdr:row>8</xdr:row>
      <xdr:rowOff>171450</xdr:rowOff>
    </xdr:from>
    <xdr:to>
      <xdr:col>18</xdr:col>
      <xdr:colOff>276225</xdr:colOff>
      <xdr:row>22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Quantidade">
              <a:extLst>
                <a:ext uri="{FF2B5EF4-FFF2-40B4-BE49-F238E27FC236}">
                  <a16:creationId xmlns:a16="http://schemas.microsoft.com/office/drawing/2014/main" id="{023AD782-7DBC-A489-B38F-F8BCDF7803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nt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5375" y="16954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lington Araujo" refreshedDate="45977.935800115738" createdVersion="8" refreshedVersion="8" minRefreshableVersion="3" recordCount="415" xr:uid="{3792E1CD-D7B5-4068-B3E1-57910A87C97D}">
  <cacheSource type="worksheet">
    <worksheetSource name="Tabela1"/>
  </cacheSource>
  <cacheFields count="15">
    <cacheField name="Sequencia" numFmtId="0">
      <sharedItems containsSemiMixedTypes="0" containsString="0" containsNumber="1" containsInteger="1" minValue="1" maxValue="415"/>
    </cacheField>
    <cacheField name="Data" numFmtId="14">
      <sharedItems containsSemiMixedTypes="0" containsNonDate="0" containsDate="1" containsString="0" minDate="2024-12-02T00:00:00" maxDate="2026-05-27T00:00:00" count="88">
        <d v="2024-12-02T00:00:00"/>
        <d v="2024-12-03T00:00:00"/>
        <d v="2024-12-05T00:00:00"/>
        <d v="2024-12-06T00:00:00"/>
        <d v="2024-12-10T00:00:00"/>
        <d v="2024-12-11T00:00:00"/>
        <d v="2024-12-12T00:00:00"/>
        <d v="2024-12-13T00:00:00"/>
        <d v="2024-12-17T00:00:00"/>
        <d v="2024-12-18T00:00:00"/>
        <d v="2024-12-19T00:00:00"/>
        <d v="2024-12-16T00:00:00"/>
        <d v="2025-04-01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4T00:00:00"/>
        <d v="2025-04-25T00:00:00"/>
        <d v="2025-04-26T00:00:00"/>
        <d v="2025-04-29T00:00:00"/>
        <d v="2025-04-30T00:00:00"/>
        <d v="2025-05-04T00:00:00"/>
        <d v="2025-05-05T00:00:00"/>
        <d v="2025-05-06T00:00:00"/>
        <d v="2025-05-08T00:00:00"/>
        <d v="2025-05-13T00:00:00"/>
        <d v="2025-05-14T00:00:00"/>
        <d v="2025-05-15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09T00:00:00"/>
        <d v="2025-06-02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25T00:00:00"/>
        <d v="2025-06-26T00:00:00"/>
        <d v="2025-06-27T00:00:00"/>
        <d v="2025-06-30T00:00:00"/>
        <d v="2025-06-03T00:00:00"/>
        <d v="2025-06-17T00:00:00"/>
        <d v="2025-06-24T00:00:00"/>
        <d v="2025-08-04T00:00:00"/>
        <d v="2025-08-05T00:00:00"/>
        <d v="2025-08-06T00:00:00"/>
        <d v="2025-08-07T00:00:00"/>
        <d v="2025-08-11T00:00:00"/>
        <d v="2025-08-01T00:00:00"/>
        <d v="2025-08-13T00:00:00"/>
        <d v="2025-08-14T00:00:00"/>
        <d v="2025-08-15T00:00:00"/>
        <d v="2025-08-18T00:00:00"/>
        <d v="2025-08-20T00:00:00"/>
        <d v="2025-08-21T00:00:00"/>
        <d v="2025-08-25T00:00:00"/>
        <d v="2025-08-27T00:00:00"/>
        <d v="2025-08-28T00:00:00"/>
        <d v="2025-08-08T00:00:00"/>
        <d v="2025-08-19T00:00:00"/>
        <d v="2025-08-22T00:00:00"/>
        <d v="2025-08-26T00:00:00"/>
        <d v="2025-09-03T00:00:00"/>
        <d v="2025-09-04T00:00:00"/>
        <d v="2025-09-12T00:00:00"/>
        <d v="2025-09-18T00:00:00"/>
        <d v="2025-09-19T00:00:00"/>
        <d v="2025-09-09T00:00:00"/>
        <d v="2026-05-26T00:00:00" u="1"/>
      </sharedItems>
      <fieldGroup par="14"/>
    </cacheField>
    <cacheField name="Cidade" numFmtId="0">
      <sharedItems containsBlank="1" count="3">
        <s v="Paracatu"/>
        <s v="João Pinheiro"/>
        <m u="1"/>
      </sharedItems>
    </cacheField>
    <cacheField name="Paciente" numFmtId="0">
      <sharedItems containsBlank="1" count="260">
        <s v="Ivanete Lopes Gonzaga "/>
        <s v="Maria Joana Pires de Almeida"/>
        <s v="Isadora Souza Couto"/>
        <s v="Carina de Sales Dornelas"/>
        <s v="Giselda Caldeira de Souza"/>
        <s v="Mayara Simões Santiago"/>
        <s v="Luiza Soares"/>
        <s v="Sebastião Ferreira da Silva"/>
        <s v="Maria Janete Teixeira"/>
        <s v="Flavia Borges de Meneses Campos"/>
        <s v="Karina Oliveira Ribeiro"/>
        <s v="Maris Madalena Lacerda Santiago"/>
        <s v="Fernando Gabriel de Amorin"/>
        <s v="Gabriel Lucas Alves Dornelas"/>
        <s v="Maria José Leles "/>
        <s v="Maris Eduarda Costa Santos"/>
        <s v="Aparecida Maria Alves de Souza"/>
        <s v="Renata Giordano Costa"/>
        <s v="Eva Maria Solto de Jesus"/>
        <s v="Davi Lucas Tavares dos Reis"/>
        <s v="Erenice de Oliveira"/>
        <s v="Marta Tavares de Moura Duarte"/>
        <s v="Zilda Carneiro dos Santos"/>
        <s v="Izabel Ieda Silva Machado"/>
        <s v="Viviane Aparecida Tavares Moreira"/>
        <s v="Davi Gonçalves dos Santos"/>
        <s v="Iude Gonçalves da Silva"/>
        <s v="Maris José Leles"/>
        <s v="Maria Raquel Ferreira"/>
        <s v="Fávia Menezes Campos"/>
        <s v="Wesley Pereira dos Santos"/>
        <s v="José Maria "/>
        <s v="Matheus Henrique Ribeiro Souto"/>
        <s v="Geralda Lima"/>
        <s v="José Camilo Correa Andrae"/>
        <s v="Paloma Mirelli Matos  "/>
        <s v="Selma Teixeira Gomes"/>
        <s v="José Maria Pereira"/>
        <s v="Valdenice Batista do Nascimento"/>
        <s v="Daniel Alves da Silva"/>
        <s v="Maria Eduarda Costa Santos"/>
        <s v="Maria Madalena Lacerda Santiago"/>
        <s v="Wilde "/>
        <s v="Nizia"/>
        <s v="Raquel"/>
        <s v="Eduardo"/>
        <s v="Maria Janete"/>
        <s v="Ilde"/>
        <s v="Terezinha "/>
        <s v="Monique"/>
        <s v="Leonardo"/>
        <s v="Sintia"/>
        <s v="Eva"/>
        <s v="Conceição"/>
        <s v="Josimar"/>
        <s v="Carlos Eduardo"/>
        <s v="Evandro"/>
        <s v="Keven"/>
        <s v="Valdemiro"/>
        <s v="Cecilia"/>
        <s v="Zélia"/>
        <s v="Rafaela"/>
        <s v="Camila"/>
        <s v="Maria Madalena"/>
        <s v="Flaviane"/>
        <s v="Antônio"/>
        <s v="Erenice"/>
        <s v="Flávia"/>
        <s v="Queria"/>
        <s v="Juliete"/>
        <s v="Maria José"/>
        <s v="Ivan"/>
        <s v="Ademir"/>
        <s v="Maris José"/>
        <s v="Aparecida"/>
        <s v="Lezita"/>
        <s v="Vane"/>
        <s v="Laiza"/>
        <s v="Selma"/>
        <s v="João Borges"/>
        <s v="Tulio"/>
        <s v="Lara"/>
        <s v="Márcia"/>
        <s v="Neuva"/>
        <s v="Gizelda"/>
        <s v="Caroline"/>
        <s v="Sofia"/>
        <s v="Marconi"/>
        <s v="Ryan"/>
        <s v="Isabela"/>
        <s v="Valdinei"/>
        <s v="Ana"/>
        <s v="Lilian"/>
        <s v="Gerson"/>
        <s v="Antonio"/>
        <s v="Edivania"/>
        <s v="Edneia"/>
        <s v="Ana Kele"/>
        <s v="Felipe"/>
        <s v="Ivanete"/>
        <s v="Lourdes"/>
        <s v="João Moura"/>
        <s v="Aline"/>
        <s v="Renata"/>
        <s v="Ana Paula"/>
        <s v="Elaine"/>
        <s v="Nedina"/>
        <s v="Maria"/>
        <s v="Marcelo"/>
        <s v="Vanda"/>
        <s v="Vanilda"/>
        <s v="Clezia"/>
        <s v="Larissa"/>
        <s v="Cleisson"/>
        <s v="Lidinha"/>
        <s v="Mercedes"/>
        <s v="Bianca"/>
        <s v="Alex"/>
        <s v="Sthefany"/>
        <s v="Monica"/>
        <s v="Graciele"/>
        <s v="Andreia"/>
        <s v="João"/>
        <s v="Uslei"/>
        <s v="Luiz"/>
        <s v="Sueli"/>
        <s v="Militina"/>
        <s v="Rogério"/>
        <s v="Margarida"/>
        <s v="Diva"/>
        <s v="Fernanda"/>
        <s v="Helio"/>
        <s v="Wadson "/>
        <s v="Adalgisa"/>
        <s v="Ceres"/>
        <s v="Nascimento"/>
        <s v="Maria dos Reis"/>
        <s v="Silvia"/>
        <s v="Antônia"/>
        <s v="Luiz Henrique"/>
        <s v="Cátia"/>
        <s v="Raniel"/>
        <s v="Sonia"/>
        <s v="Tadeu"/>
        <s v="Mellissa"/>
        <s v="Leonardo e Kevin"/>
        <s v="Maria Fernanda"/>
        <s v="Wesley"/>
        <s v="Ele"/>
        <s v="Heitor"/>
        <s v="Cleide"/>
        <s v="Luiza"/>
        <s v="Lilia"/>
        <s v="Andre"/>
        <s v="Diego"/>
        <s v="Nara"/>
        <s v="Ludi"/>
        <s v="Vania"/>
        <s v="Gabriely"/>
        <s v="Fábio"/>
        <s v="Helen"/>
        <s v="Carolina e Filomena"/>
        <s v="Beatriz"/>
        <s v="Giselda"/>
        <s v="Wellington"/>
        <s v="Hebert"/>
        <s v="Terezinha"/>
        <s v="Zeno e Silvia"/>
        <s v="Ludimila"/>
        <s v="José e Hamilton"/>
        <s v="Bruno"/>
        <s v="Zeno"/>
        <s v="Ciomar"/>
        <s v="Germana"/>
        <s v="Rosa"/>
        <s v="Wilde"/>
        <s v="Alessandro"/>
        <s v="Leandro"/>
        <s v="Alexsandra"/>
        <s v="André"/>
        <s v="Wemerson"/>
        <s v="Nair"/>
        <s v="Antôniio"/>
        <s v="Cintia"/>
        <s v="José Donizete"/>
        <s v="Ronaldo"/>
        <s v="Carolina "/>
        <s v="Maria Aparecida"/>
        <s v="Seluta"/>
        <s v="Helvécio"/>
        <s v="Kéven"/>
        <s v="Maria Helena"/>
        <s v="Ivani"/>
        <s v="Geraldo"/>
        <s v="Frank"/>
        <s v="Ester"/>
        <s v="Maria Conceição"/>
        <s v="Yure"/>
        <s v="Mônica"/>
        <s v="Victor"/>
        <s v="Enir"/>
        <s v="Vicente"/>
        <s v="Odete"/>
        <s v="Nadir"/>
        <s v="Ilda"/>
        <s v="Neire"/>
        <s v="Filomena"/>
        <s v="Oldair"/>
        <s v="Regiane"/>
        <s v="Maiara"/>
        <s v="Rosimeire"/>
        <s v="Edna"/>
        <s v="Adelson"/>
        <s v="Adelmo"/>
        <s v="Vaneide "/>
        <s v="Hermelinda"/>
        <s v="Celina"/>
        <s v="Maria Moura"/>
        <s v="Lucas"/>
        <s v="Carlos Roberto"/>
        <s v="Eliseu"/>
        <s v="Geralda"/>
        <s v="Izabely"/>
        <s v="Fabiane"/>
        <s v="Leopoldina"/>
        <s v="Erica"/>
        <s v="Elisangela"/>
        <s v="Sirlene"/>
        <s v="Kyvia"/>
        <s v="Ronier"/>
        <s v="Gilmar"/>
        <s v="Maria Borges"/>
        <s v="Evellyn"/>
        <s v="Graciete"/>
        <s v="Manuela"/>
        <s v="Hélio"/>
        <s v="Cecília"/>
        <s v="Lenita"/>
        <s v="Carlos"/>
        <s v="Gerônimo"/>
        <s v="Sônia"/>
        <s v="José"/>
        <s v="Timóteo"/>
        <s v="Valdeci"/>
        <s v="Ana Carolina"/>
        <s v="Samuel"/>
        <s v="Ana Maria"/>
        <s v="Henrique"/>
        <s v="Joaquim"/>
        <s v="Miriam"/>
        <s v="Antônio José"/>
        <s v="Eliani"/>
        <s v="Rosângela"/>
        <s v="Helaine"/>
        <s v="Lucy"/>
        <s v="Carieli"/>
        <s v="Helio  "/>
        <s v="José Adão"/>
        <s v="Vendas"/>
        <m u="1"/>
      </sharedItems>
    </cacheField>
    <cacheField name="Procedimento" numFmtId="0">
      <sharedItems containsBlank="1" count="29">
        <s v="Chrome"/>
        <s v="Cirurgia/procedimentos"/>
        <s v="Consulta"/>
        <s v="Preenchimento/Botox"/>
        <s v="Preenchimento"/>
        <s v="Botox"/>
        <s v="Nitrogênio"/>
        <s v="Biopsia"/>
        <s v="Ultraforme/Sculptra"/>
        <s v="Blefaroplastia"/>
        <s v="Apl. Minoxidil"/>
        <s v="Glúteo"/>
        <s v="Avaliação"/>
        <s v="Sculptra/Botox"/>
        <s v="Sculptra"/>
        <s v="Vitamina"/>
        <s v="Pacote Chrome"/>
        <s v="Remoção Tatoo"/>
        <s v="Plasma"/>
        <s v="Crio cirurgia"/>
        <s v="Ultraforme"/>
        <s v="Ninfloplastia"/>
        <s v="Pacote Vip"/>
        <s v="Cirurgia P"/>
        <s v="Laser Intimo"/>
        <s v="Transplante"/>
        <s v="Soroterapia"/>
        <s v="Hegon"/>
        <m u="1"/>
      </sharedItems>
    </cacheField>
    <cacheField name="Quantidade" numFmtId="0">
      <sharedItems containsSemiMixedTypes="0" containsString="0" containsNumber="1" containsInteger="1" minValue="1" maxValue="1" count="1">
        <n v="1"/>
      </sharedItems>
    </cacheField>
    <cacheField name="Valor" numFmtId="44">
      <sharedItems containsSemiMixedTypes="0" containsString="0" containsNumber="1" containsInteger="1" minValue="1" maxValue="14000"/>
    </cacheField>
    <cacheField name="Taxa Cartão" numFmtId="44">
      <sharedItems containsString="0" containsBlank="1" containsNumber="1" minValue="1.31" maxValue="6272.4014336917562"/>
    </cacheField>
    <cacheField name="Vendedor" numFmtId="0">
      <sharedItems count="3">
        <s v="Rosy"/>
        <s v="jessica"/>
        <s v="Jéssica" u="1"/>
      </sharedItems>
    </cacheField>
    <cacheField name="% Comissão" numFmtId="9">
      <sharedItems containsSemiMixedTypes="0" containsString="0" containsNumber="1" minValue="0.03" maxValue="0.03"/>
    </cacheField>
    <cacheField name="Valor Comissão" numFmtId="44">
      <sharedItems containsSemiMixedTypes="0" containsString="0" containsNumber="1" minValue="0.03" maxValue="420"/>
    </cacheField>
    <cacheField name="Mês" numFmtId="0">
      <sharedItems containsBlank="1" count="7">
        <s v="Dezembro"/>
        <s v="Abril"/>
        <s v="Maio"/>
        <s v="Junho"/>
        <s v="Agosto"/>
        <s v="Setembro"/>
        <m u="1"/>
      </sharedItems>
    </cacheField>
    <cacheField name="Meses (Data)" numFmtId="0" databaseField="0">
      <fieldGroup base="1">
        <rangePr groupBy="months" startDate="2024-12-02T00:00:00" endDate="2025-09-20T00:00:00"/>
        <groupItems count="14">
          <s v="&lt;02/12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0/09/2025"/>
        </groupItems>
      </fieldGroup>
    </cacheField>
    <cacheField name="Trimestres (Data)" numFmtId="0" databaseField="0">
      <fieldGroup base="1">
        <rangePr groupBy="quarters" startDate="2024-12-02T00:00:00" endDate="2025-09-20T00:00:00"/>
        <groupItems count="6">
          <s v="&lt;02/12/2024"/>
          <s v="Trim1"/>
          <s v="Trim2"/>
          <s v="Trim3"/>
          <s v="Trim4"/>
          <s v="&gt;20/09/2025"/>
        </groupItems>
      </fieldGroup>
    </cacheField>
    <cacheField name="Anos (Data)" numFmtId="0" databaseField="0">
      <fieldGroup base="1">
        <rangePr groupBy="years" startDate="2024-12-02T00:00:00" endDate="2025-09-20T00:00:00"/>
        <groupItems count="4">
          <s v="&lt;02/12/2024"/>
          <s v="2024"/>
          <s v="2025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 pivotCacheId="12697809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">
  <r>
    <n v="1"/>
    <x v="0"/>
    <x v="0"/>
    <x v="0"/>
    <x v="0"/>
    <x v="0"/>
    <n v="500"/>
    <m/>
    <x v="0"/>
    <n v="0.03"/>
    <n v="15"/>
    <x v="0"/>
  </r>
  <r>
    <n v="2"/>
    <x v="1"/>
    <x v="1"/>
    <x v="1"/>
    <x v="1"/>
    <x v="0"/>
    <n v="3000"/>
    <m/>
    <x v="0"/>
    <n v="0.03"/>
    <n v="90"/>
    <x v="0"/>
  </r>
  <r>
    <n v="3"/>
    <x v="1"/>
    <x v="1"/>
    <x v="2"/>
    <x v="2"/>
    <x v="0"/>
    <n v="550"/>
    <m/>
    <x v="0"/>
    <n v="0.03"/>
    <n v="16.5"/>
    <x v="0"/>
  </r>
  <r>
    <n v="4"/>
    <x v="1"/>
    <x v="1"/>
    <x v="3"/>
    <x v="2"/>
    <x v="0"/>
    <n v="500"/>
    <m/>
    <x v="0"/>
    <n v="0.03"/>
    <n v="15"/>
    <x v="0"/>
  </r>
  <r>
    <n v="5"/>
    <x v="1"/>
    <x v="1"/>
    <x v="4"/>
    <x v="0"/>
    <x v="0"/>
    <n v="1000"/>
    <m/>
    <x v="0"/>
    <n v="0.03"/>
    <n v="30"/>
    <x v="0"/>
  </r>
  <r>
    <n v="6"/>
    <x v="2"/>
    <x v="1"/>
    <x v="5"/>
    <x v="2"/>
    <x v="0"/>
    <n v="1000"/>
    <m/>
    <x v="0"/>
    <n v="0.03"/>
    <n v="30"/>
    <x v="0"/>
  </r>
  <r>
    <n v="7"/>
    <x v="2"/>
    <x v="1"/>
    <x v="6"/>
    <x v="3"/>
    <x v="0"/>
    <n v="1650"/>
    <m/>
    <x v="0"/>
    <n v="0.03"/>
    <n v="49.5"/>
    <x v="0"/>
  </r>
  <r>
    <n v="8"/>
    <x v="2"/>
    <x v="1"/>
    <x v="7"/>
    <x v="2"/>
    <x v="0"/>
    <n v="550"/>
    <m/>
    <x v="0"/>
    <n v="0.03"/>
    <n v="16.5"/>
    <x v="0"/>
  </r>
  <r>
    <n v="9"/>
    <x v="2"/>
    <x v="1"/>
    <x v="8"/>
    <x v="0"/>
    <x v="0"/>
    <n v="1000"/>
    <m/>
    <x v="0"/>
    <n v="0.03"/>
    <n v="30"/>
    <x v="0"/>
  </r>
  <r>
    <n v="10"/>
    <x v="2"/>
    <x v="1"/>
    <x v="9"/>
    <x v="4"/>
    <x v="0"/>
    <n v="1500"/>
    <m/>
    <x v="0"/>
    <n v="0.03"/>
    <n v="45"/>
    <x v="0"/>
  </r>
  <r>
    <n v="11"/>
    <x v="2"/>
    <x v="1"/>
    <x v="10"/>
    <x v="5"/>
    <x v="0"/>
    <n v="300"/>
    <m/>
    <x v="0"/>
    <n v="0.03"/>
    <n v="9"/>
    <x v="0"/>
  </r>
  <r>
    <n v="12"/>
    <x v="2"/>
    <x v="1"/>
    <x v="11"/>
    <x v="6"/>
    <x v="0"/>
    <n v="300"/>
    <m/>
    <x v="1"/>
    <n v="0.03"/>
    <n v="9"/>
    <x v="0"/>
  </r>
  <r>
    <n v="13"/>
    <x v="3"/>
    <x v="1"/>
    <x v="12"/>
    <x v="5"/>
    <x v="0"/>
    <n v="1300"/>
    <m/>
    <x v="0"/>
    <n v="0.03"/>
    <n v="39"/>
    <x v="0"/>
  </r>
  <r>
    <n v="14"/>
    <x v="3"/>
    <x v="1"/>
    <x v="13"/>
    <x v="2"/>
    <x v="0"/>
    <n v="550"/>
    <m/>
    <x v="0"/>
    <n v="0.03"/>
    <n v="16.5"/>
    <x v="0"/>
  </r>
  <r>
    <n v="15"/>
    <x v="3"/>
    <x v="1"/>
    <x v="14"/>
    <x v="7"/>
    <x v="0"/>
    <n v="1000"/>
    <m/>
    <x v="0"/>
    <n v="0.03"/>
    <n v="30"/>
    <x v="0"/>
  </r>
  <r>
    <n v="16"/>
    <x v="3"/>
    <x v="1"/>
    <x v="15"/>
    <x v="2"/>
    <x v="0"/>
    <n v="550"/>
    <m/>
    <x v="0"/>
    <n v="0.03"/>
    <n v="16.5"/>
    <x v="0"/>
  </r>
  <r>
    <n v="17"/>
    <x v="3"/>
    <x v="1"/>
    <x v="16"/>
    <x v="0"/>
    <x v="0"/>
    <n v="300"/>
    <m/>
    <x v="0"/>
    <n v="0.03"/>
    <n v="9"/>
    <x v="0"/>
  </r>
  <r>
    <n v="18"/>
    <x v="4"/>
    <x v="1"/>
    <x v="17"/>
    <x v="8"/>
    <x v="0"/>
    <n v="7500"/>
    <m/>
    <x v="0"/>
    <n v="0.03"/>
    <n v="225"/>
    <x v="0"/>
  </r>
  <r>
    <n v="19"/>
    <x v="4"/>
    <x v="1"/>
    <x v="18"/>
    <x v="0"/>
    <x v="0"/>
    <n v="500"/>
    <m/>
    <x v="0"/>
    <n v="0.03"/>
    <n v="15"/>
    <x v="0"/>
  </r>
  <r>
    <n v="20"/>
    <x v="4"/>
    <x v="1"/>
    <x v="19"/>
    <x v="2"/>
    <x v="0"/>
    <n v="500"/>
    <m/>
    <x v="0"/>
    <n v="0.03"/>
    <n v="15"/>
    <x v="0"/>
  </r>
  <r>
    <n v="21"/>
    <x v="4"/>
    <x v="1"/>
    <x v="20"/>
    <x v="7"/>
    <x v="0"/>
    <n v="1800"/>
    <m/>
    <x v="0"/>
    <n v="0.03"/>
    <n v="54"/>
    <x v="0"/>
  </r>
  <r>
    <n v="22"/>
    <x v="5"/>
    <x v="0"/>
    <x v="21"/>
    <x v="9"/>
    <x v="0"/>
    <n v="5450"/>
    <m/>
    <x v="0"/>
    <n v="0.03"/>
    <n v="163.5"/>
    <x v="0"/>
  </r>
  <r>
    <n v="23"/>
    <x v="5"/>
    <x v="0"/>
    <x v="22"/>
    <x v="9"/>
    <x v="0"/>
    <n v="5450"/>
    <m/>
    <x v="0"/>
    <n v="0.03"/>
    <n v="163.5"/>
    <x v="0"/>
  </r>
  <r>
    <n v="24"/>
    <x v="6"/>
    <x v="1"/>
    <x v="23"/>
    <x v="0"/>
    <x v="0"/>
    <n v="350"/>
    <m/>
    <x v="0"/>
    <n v="0.03"/>
    <n v="10.5"/>
    <x v="0"/>
  </r>
  <r>
    <n v="25"/>
    <x v="7"/>
    <x v="1"/>
    <x v="24"/>
    <x v="8"/>
    <x v="0"/>
    <n v="7650"/>
    <m/>
    <x v="0"/>
    <n v="0.03"/>
    <n v="229.5"/>
    <x v="0"/>
  </r>
  <r>
    <n v="26"/>
    <x v="7"/>
    <x v="1"/>
    <x v="25"/>
    <x v="10"/>
    <x v="0"/>
    <n v="350"/>
    <m/>
    <x v="0"/>
    <n v="0.03"/>
    <n v="10.5"/>
    <x v="0"/>
  </r>
  <r>
    <n v="27"/>
    <x v="7"/>
    <x v="1"/>
    <x v="26"/>
    <x v="2"/>
    <x v="0"/>
    <n v="550"/>
    <m/>
    <x v="0"/>
    <n v="0.03"/>
    <n v="16.5"/>
    <x v="0"/>
  </r>
  <r>
    <n v="28"/>
    <x v="7"/>
    <x v="1"/>
    <x v="27"/>
    <x v="0"/>
    <x v="0"/>
    <n v="500"/>
    <m/>
    <x v="0"/>
    <n v="0.03"/>
    <n v="15"/>
    <x v="0"/>
  </r>
  <r>
    <n v="29"/>
    <x v="7"/>
    <x v="1"/>
    <x v="28"/>
    <x v="7"/>
    <x v="0"/>
    <n v="1000"/>
    <m/>
    <x v="1"/>
    <n v="0.03"/>
    <n v="30"/>
    <x v="0"/>
  </r>
  <r>
    <n v="30"/>
    <x v="7"/>
    <x v="1"/>
    <x v="29"/>
    <x v="11"/>
    <x v="0"/>
    <n v="3600"/>
    <m/>
    <x v="0"/>
    <n v="0.03"/>
    <n v="108"/>
    <x v="0"/>
  </r>
  <r>
    <n v="31"/>
    <x v="8"/>
    <x v="1"/>
    <x v="30"/>
    <x v="9"/>
    <x v="0"/>
    <n v="3800"/>
    <m/>
    <x v="0"/>
    <n v="0.03"/>
    <n v="114"/>
    <x v="0"/>
  </r>
  <r>
    <n v="32"/>
    <x v="8"/>
    <x v="1"/>
    <x v="31"/>
    <x v="12"/>
    <x v="0"/>
    <n v="550"/>
    <m/>
    <x v="0"/>
    <n v="0.03"/>
    <n v="16.5"/>
    <x v="0"/>
  </r>
  <r>
    <n v="33"/>
    <x v="8"/>
    <x v="1"/>
    <x v="32"/>
    <x v="2"/>
    <x v="0"/>
    <n v="550"/>
    <m/>
    <x v="0"/>
    <n v="0.03"/>
    <n v="16.5"/>
    <x v="0"/>
  </r>
  <r>
    <n v="34"/>
    <x v="8"/>
    <x v="1"/>
    <x v="33"/>
    <x v="6"/>
    <x v="0"/>
    <n v="300"/>
    <m/>
    <x v="0"/>
    <n v="0.03"/>
    <n v="9"/>
    <x v="0"/>
  </r>
  <r>
    <n v="35"/>
    <x v="9"/>
    <x v="0"/>
    <x v="34"/>
    <x v="13"/>
    <x v="0"/>
    <n v="3000"/>
    <m/>
    <x v="0"/>
    <n v="0.03"/>
    <n v="90"/>
    <x v="0"/>
  </r>
  <r>
    <n v="36"/>
    <x v="9"/>
    <x v="0"/>
    <x v="35"/>
    <x v="0"/>
    <x v="0"/>
    <n v="700"/>
    <m/>
    <x v="0"/>
    <n v="0.03"/>
    <n v="21"/>
    <x v="0"/>
  </r>
  <r>
    <n v="37"/>
    <x v="10"/>
    <x v="1"/>
    <x v="4"/>
    <x v="0"/>
    <x v="0"/>
    <n v="500"/>
    <m/>
    <x v="0"/>
    <n v="0.03"/>
    <n v="15"/>
    <x v="0"/>
  </r>
  <r>
    <n v="38"/>
    <x v="10"/>
    <x v="1"/>
    <x v="36"/>
    <x v="2"/>
    <x v="0"/>
    <n v="550"/>
    <m/>
    <x v="0"/>
    <n v="0.03"/>
    <n v="16.5"/>
    <x v="0"/>
  </r>
  <r>
    <n v="39"/>
    <x v="11"/>
    <x v="1"/>
    <x v="37"/>
    <x v="14"/>
    <x v="0"/>
    <n v="1750"/>
    <m/>
    <x v="1"/>
    <n v="0.03"/>
    <n v="52.5"/>
    <x v="0"/>
  </r>
  <r>
    <n v="40"/>
    <x v="10"/>
    <x v="1"/>
    <x v="38"/>
    <x v="0"/>
    <x v="0"/>
    <n v="200"/>
    <m/>
    <x v="0"/>
    <n v="0.03"/>
    <n v="6"/>
    <x v="0"/>
  </r>
  <r>
    <n v="41"/>
    <x v="10"/>
    <x v="1"/>
    <x v="8"/>
    <x v="0"/>
    <x v="0"/>
    <n v="1000"/>
    <m/>
    <x v="0"/>
    <n v="0.03"/>
    <n v="30"/>
    <x v="0"/>
  </r>
  <r>
    <n v="42"/>
    <x v="10"/>
    <x v="1"/>
    <x v="39"/>
    <x v="5"/>
    <x v="0"/>
    <n v="1200"/>
    <m/>
    <x v="0"/>
    <n v="0.03"/>
    <n v="36"/>
    <x v="0"/>
  </r>
  <r>
    <n v="43"/>
    <x v="10"/>
    <x v="1"/>
    <x v="40"/>
    <x v="7"/>
    <x v="0"/>
    <n v="1000"/>
    <m/>
    <x v="0"/>
    <n v="0.03"/>
    <n v="30"/>
    <x v="0"/>
  </r>
  <r>
    <n v="44"/>
    <x v="10"/>
    <x v="1"/>
    <x v="41"/>
    <x v="7"/>
    <x v="0"/>
    <n v="1000"/>
    <m/>
    <x v="0"/>
    <n v="0.03"/>
    <n v="30"/>
    <x v="0"/>
  </r>
  <r>
    <n v="45"/>
    <x v="12"/>
    <x v="1"/>
    <x v="42"/>
    <x v="0"/>
    <x v="0"/>
    <n v="500"/>
    <n v="3"/>
    <x v="0"/>
    <n v="0.03"/>
    <n v="15"/>
    <x v="1"/>
  </r>
  <r>
    <n v="46"/>
    <x v="12"/>
    <x v="1"/>
    <x v="43"/>
    <x v="0"/>
    <x v="0"/>
    <n v="700"/>
    <n v="29.68"/>
    <x v="0"/>
    <n v="0.03"/>
    <n v="21"/>
    <x v="1"/>
  </r>
  <r>
    <n v="47"/>
    <x v="12"/>
    <x v="1"/>
    <x v="44"/>
    <x v="2"/>
    <x v="0"/>
    <n v="590"/>
    <m/>
    <x v="0"/>
    <n v="0.03"/>
    <n v="17.7"/>
    <x v="1"/>
  </r>
  <r>
    <n v="48"/>
    <x v="12"/>
    <x v="1"/>
    <x v="45"/>
    <x v="2"/>
    <x v="0"/>
    <n v="590"/>
    <m/>
    <x v="0"/>
    <n v="0.03"/>
    <n v="17.7"/>
    <x v="1"/>
  </r>
  <r>
    <n v="49"/>
    <x v="12"/>
    <x v="1"/>
    <x v="46"/>
    <x v="0"/>
    <x v="0"/>
    <n v="300"/>
    <n v="5.24"/>
    <x v="0"/>
    <n v="0.03"/>
    <n v="9"/>
    <x v="1"/>
  </r>
  <r>
    <n v="50"/>
    <x v="12"/>
    <x v="1"/>
    <x v="47"/>
    <x v="2"/>
    <x v="0"/>
    <n v="590"/>
    <n v="39.058"/>
    <x v="0"/>
    <n v="0.03"/>
    <n v="17.7"/>
    <x v="1"/>
  </r>
  <r>
    <n v="51"/>
    <x v="12"/>
    <x v="1"/>
    <x v="48"/>
    <x v="6"/>
    <x v="0"/>
    <n v="350"/>
    <n v="4.585"/>
    <x v="0"/>
    <n v="0.03"/>
    <n v="10.5"/>
    <x v="1"/>
  </r>
  <r>
    <n v="52"/>
    <x v="12"/>
    <x v="1"/>
    <x v="49"/>
    <x v="2"/>
    <x v="0"/>
    <n v="590"/>
    <m/>
    <x v="0"/>
    <n v="0.03"/>
    <n v="17.7"/>
    <x v="1"/>
  </r>
  <r>
    <n v="53"/>
    <x v="12"/>
    <x v="1"/>
    <x v="50"/>
    <x v="0"/>
    <x v="0"/>
    <n v="500"/>
    <n v="21.2"/>
    <x v="0"/>
    <n v="0.03"/>
    <n v="15"/>
    <x v="1"/>
  </r>
  <r>
    <n v="54"/>
    <x v="12"/>
    <x v="1"/>
    <x v="51"/>
    <x v="0"/>
    <x v="0"/>
    <n v="700"/>
    <n v="9.17"/>
    <x v="1"/>
    <n v="0.03"/>
    <n v="21"/>
    <x v="1"/>
  </r>
  <r>
    <n v="55"/>
    <x v="12"/>
    <x v="1"/>
    <x v="52"/>
    <x v="6"/>
    <x v="0"/>
    <n v="300"/>
    <m/>
    <x v="0"/>
    <n v="0.03"/>
    <n v="9"/>
    <x v="1"/>
  </r>
  <r>
    <n v="56"/>
    <x v="12"/>
    <x v="1"/>
    <x v="53"/>
    <x v="2"/>
    <x v="0"/>
    <n v="590"/>
    <m/>
    <x v="0"/>
    <n v="0.03"/>
    <n v="17.7"/>
    <x v="1"/>
  </r>
  <r>
    <n v="57"/>
    <x v="12"/>
    <x v="1"/>
    <x v="54"/>
    <x v="2"/>
    <x v="0"/>
    <n v="590"/>
    <n v="7.7290000000000001"/>
    <x v="0"/>
    <n v="0.03"/>
    <n v="17.7"/>
    <x v="1"/>
  </r>
  <r>
    <n v="58"/>
    <x v="12"/>
    <x v="1"/>
    <x v="55"/>
    <x v="15"/>
    <x v="0"/>
    <n v="250"/>
    <m/>
    <x v="0"/>
    <n v="0.03"/>
    <n v="7.5"/>
    <x v="1"/>
  </r>
  <r>
    <n v="59"/>
    <x v="12"/>
    <x v="1"/>
    <x v="53"/>
    <x v="0"/>
    <x v="0"/>
    <n v="1400"/>
    <m/>
    <x v="0"/>
    <n v="0.03"/>
    <n v="42"/>
    <x v="1"/>
  </r>
  <r>
    <n v="60"/>
    <x v="13"/>
    <x v="1"/>
    <x v="56"/>
    <x v="2"/>
    <x v="0"/>
    <n v="590"/>
    <n v="39.058"/>
    <x v="0"/>
    <n v="0.03"/>
    <n v="17.7"/>
    <x v="1"/>
  </r>
  <r>
    <n v="61"/>
    <x v="13"/>
    <x v="1"/>
    <x v="57"/>
    <x v="0"/>
    <x v="0"/>
    <n v="100"/>
    <n v="25.44"/>
    <x v="0"/>
    <n v="0.03"/>
    <n v="3"/>
    <x v="1"/>
  </r>
  <r>
    <n v="62"/>
    <x v="13"/>
    <x v="1"/>
    <x v="58"/>
    <x v="16"/>
    <x v="0"/>
    <n v="4800"/>
    <m/>
    <x v="0"/>
    <n v="0.03"/>
    <n v="144"/>
    <x v="1"/>
  </r>
  <r>
    <n v="63"/>
    <x v="13"/>
    <x v="1"/>
    <x v="59"/>
    <x v="2"/>
    <x v="0"/>
    <n v="590"/>
    <m/>
    <x v="0"/>
    <n v="0.03"/>
    <n v="17.7"/>
    <x v="1"/>
  </r>
  <r>
    <n v="64"/>
    <x v="13"/>
    <x v="1"/>
    <x v="60"/>
    <x v="16"/>
    <x v="0"/>
    <n v="2000"/>
    <n v="66.199999999999989"/>
    <x v="0"/>
    <n v="0.03"/>
    <n v="60"/>
    <x v="1"/>
  </r>
  <r>
    <n v="65"/>
    <x v="13"/>
    <x v="1"/>
    <x v="61"/>
    <x v="15"/>
    <x v="0"/>
    <n v="300"/>
    <m/>
    <x v="0"/>
    <n v="0.03"/>
    <n v="9"/>
    <x v="1"/>
  </r>
  <r>
    <n v="66"/>
    <x v="13"/>
    <x v="1"/>
    <x v="62"/>
    <x v="15"/>
    <x v="0"/>
    <n v="350"/>
    <n v="6272.4014336917562"/>
    <x v="0"/>
    <n v="0.03"/>
    <n v="10.5"/>
    <x v="1"/>
  </r>
  <r>
    <n v="67"/>
    <x v="13"/>
    <x v="1"/>
    <x v="63"/>
    <x v="0"/>
    <x v="0"/>
    <n v="5000"/>
    <n v="433"/>
    <x v="0"/>
    <n v="0.03"/>
    <n v="150"/>
    <x v="1"/>
  </r>
  <r>
    <n v="68"/>
    <x v="13"/>
    <x v="1"/>
    <x v="64"/>
    <x v="15"/>
    <x v="0"/>
    <n v="250"/>
    <n v="21.65"/>
    <x v="0"/>
    <n v="0.03"/>
    <n v="7.5"/>
    <x v="1"/>
  </r>
  <r>
    <n v="69"/>
    <x v="14"/>
    <x v="1"/>
    <x v="65"/>
    <x v="14"/>
    <x v="0"/>
    <n v="250"/>
    <m/>
    <x v="0"/>
    <n v="0.03"/>
    <n v="7.5"/>
    <x v="1"/>
  </r>
  <r>
    <n v="70"/>
    <x v="14"/>
    <x v="1"/>
    <x v="66"/>
    <x v="7"/>
    <x v="0"/>
    <n v="180"/>
    <m/>
    <x v="0"/>
    <n v="0.03"/>
    <n v="5.3999999999999995"/>
    <x v="1"/>
  </r>
  <r>
    <n v="71"/>
    <x v="14"/>
    <x v="1"/>
    <x v="66"/>
    <x v="7"/>
    <x v="0"/>
    <n v="300"/>
    <m/>
    <x v="0"/>
    <n v="0.03"/>
    <n v="9"/>
    <x v="1"/>
  </r>
  <r>
    <n v="72"/>
    <x v="15"/>
    <x v="1"/>
    <x v="67"/>
    <x v="17"/>
    <x v="0"/>
    <n v="500"/>
    <m/>
    <x v="1"/>
    <n v="0.03"/>
    <n v="15"/>
    <x v="1"/>
  </r>
  <r>
    <n v="73"/>
    <x v="15"/>
    <x v="1"/>
    <x v="53"/>
    <x v="0"/>
    <x v="0"/>
    <n v="5000"/>
    <n v="65.5"/>
    <x v="0"/>
    <n v="0.03"/>
    <n v="150"/>
    <x v="1"/>
  </r>
  <r>
    <n v="74"/>
    <x v="15"/>
    <x v="1"/>
    <x v="68"/>
    <x v="12"/>
    <x v="0"/>
    <n v="590"/>
    <n v="7.7290000000000001"/>
    <x v="0"/>
    <n v="0.03"/>
    <n v="17.7"/>
    <x v="1"/>
  </r>
  <r>
    <n v="75"/>
    <x v="15"/>
    <x v="1"/>
    <x v="69"/>
    <x v="10"/>
    <x v="0"/>
    <n v="500"/>
    <m/>
    <x v="0"/>
    <n v="0.03"/>
    <n v="15"/>
    <x v="1"/>
  </r>
  <r>
    <n v="76"/>
    <x v="15"/>
    <x v="1"/>
    <x v="70"/>
    <x v="0"/>
    <x v="0"/>
    <n v="3000"/>
    <n v="421.16699999999992"/>
    <x v="0"/>
    <n v="0.03"/>
    <n v="90"/>
    <x v="1"/>
  </r>
  <r>
    <n v="77"/>
    <x v="15"/>
    <x v="1"/>
    <x v="71"/>
    <x v="15"/>
    <x v="0"/>
    <n v="500"/>
    <n v="6.5500000000000114"/>
    <x v="0"/>
    <n v="0.03"/>
    <n v="15"/>
    <x v="1"/>
  </r>
  <r>
    <n v="78"/>
    <x v="16"/>
    <x v="1"/>
    <x v="72"/>
    <x v="6"/>
    <x v="0"/>
    <n v="150"/>
    <m/>
    <x v="0"/>
    <n v="0.03"/>
    <n v="4.5"/>
    <x v="1"/>
  </r>
  <r>
    <n v="79"/>
    <x v="16"/>
    <x v="1"/>
    <x v="73"/>
    <x v="0"/>
    <x v="0"/>
    <n v="1000"/>
    <n v="13.100000000000023"/>
    <x v="0"/>
    <n v="0.03"/>
    <n v="30"/>
    <x v="1"/>
  </r>
  <r>
    <n v="80"/>
    <x v="16"/>
    <x v="1"/>
    <x v="74"/>
    <x v="0"/>
    <x v="0"/>
    <n v="1000"/>
    <n v="13.1"/>
    <x v="0"/>
    <n v="0.03"/>
    <n v="30"/>
    <x v="1"/>
  </r>
  <r>
    <n v="81"/>
    <x v="16"/>
    <x v="1"/>
    <x v="75"/>
    <x v="18"/>
    <x v="0"/>
    <n v="200"/>
    <m/>
    <x v="0"/>
    <n v="0.03"/>
    <n v="6"/>
    <x v="1"/>
  </r>
  <r>
    <n v="82"/>
    <x v="16"/>
    <x v="1"/>
    <x v="76"/>
    <x v="19"/>
    <x v="0"/>
    <n v="1500"/>
    <n v="19.649999999999999"/>
    <x v="0"/>
    <n v="0.03"/>
    <n v="45"/>
    <x v="1"/>
  </r>
  <r>
    <n v="83"/>
    <x v="16"/>
    <x v="1"/>
    <x v="77"/>
    <x v="2"/>
    <x v="0"/>
    <n v="840"/>
    <n v="64.110000000000014"/>
    <x v="0"/>
    <n v="0.03"/>
    <n v="25.2"/>
    <x v="1"/>
  </r>
  <r>
    <n v="84"/>
    <x v="17"/>
    <x v="1"/>
    <x v="66"/>
    <x v="7"/>
    <x v="0"/>
    <n v="570"/>
    <m/>
    <x v="0"/>
    <n v="0.03"/>
    <n v="17.099999999999998"/>
    <x v="1"/>
  </r>
  <r>
    <n v="85"/>
    <x v="18"/>
    <x v="1"/>
    <x v="78"/>
    <x v="0"/>
    <x v="0"/>
    <n v="1000"/>
    <m/>
    <x v="0"/>
    <n v="0.03"/>
    <n v="30"/>
    <x v="1"/>
  </r>
  <r>
    <n v="86"/>
    <x v="18"/>
    <x v="1"/>
    <x v="79"/>
    <x v="6"/>
    <x v="0"/>
    <n v="150"/>
    <n v="6.6750000000000114"/>
    <x v="0"/>
    <n v="0.03"/>
    <n v="4.5"/>
    <x v="1"/>
  </r>
  <r>
    <n v="87"/>
    <x v="18"/>
    <x v="1"/>
    <x v="69"/>
    <x v="0"/>
    <x v="0"/>
    <n v="3000"/>
    <m/>
    <x v="0"/>
    <n v="0.03"/>
    <n v="90"/>
    <x v="1"/>
  </r>
  <r>
    <n v="88"/>
    <x v="18"/>
    <x v="1"/>
    <x v="80"/>
    <x v="6"/>
    <x v="0"/>
    <n v="580"/>
    <n v="7.9580000000000002"/>
    <x v="0"/>
    <n v="0.03"/>
    <n v="17.399999999999999"/>
    <x v="1"/>
  </r>
  <r>
    <n v="89"/>
    <x v="18"/>
    <x v="1"/>
    <x v="81"/>
    <x v="0"/>
    <x v="0"/>
    <n v="5000"/>
    <n v="702.28399999999965"/>
    <x v="0"/>
    <n v="0.03"/>
    <n v="150"/>
    <x v="1"/>
  </r>
  <r>
    <n v="90"/>
    <x v="18"/>
    <x v="1"/>
    <x v="48"/>
    <x v="0"/>
    <x v="0"/>
    <n v="5000"/>
    <n v="65.5"/>
    <x v="0"/>
    <n v="0.03"/>
    <n v="150"/>
    <x v="1"/>
  </r>
  <r>
    <n v="91"/>
    <x v="18"/>
    <x v="1"/>
    <x v="82"/>
    <x v="12"/>
    <x v="0"/>
    <n v="590"/>
    <n v="26.251999999999953"/>
    <x v="0"/>
    <n v="0.03"/>
    <n v="17.7"/>
    <x v="1"/>
  </r>
  <r>
    <n v="92"/>
    <x v="18"/>
    <x v="1"/>
    <x v="83"/>
    <x v="15"/>
    <x v="0"/>
    <n v="350"/>
    <m/>
    <x v="0"/>
    <n v="0.03"/>
    <n v="10.5"/>
    <x v="1"/>
  </r>
  <r>
    <n v="93"/>
    <x v="18"/>
    <x v="1"/>
    <x v="84"/>
    <x v="0"/>
    <x v="0"/>
    <n v="500"/>
    <m/>
    <x v="1"/>
    <n v="0.03"/>
    <n v="15"/>
    <x v="1"/>
  </r>
  <r>
    <n v="94"/>
    <x v="18"/>
    <x v="1"/>
    <x v="82"/>
    <x v="0"/>
    <x v="0"/>
    <n v="4300"/>
    <n v="284.66699999999992"/>
    <x v="0"/>
    <n v="0.03"/>
    <n v="129"/>
    <x v="1"/>
  </r>
  <r>
    <n v="95"/>
    <x v="19"/>
    <x v="1"/>
    <x v="67"/>
    <x v="0"/>
    <x v="0"/>
    <n v="700"/>
    <m/>
    <x v="0"/>
    <n v="0.03"/>
    <n v="21"/>
    <x v="1"/>
  </r>
  <r>
    <n v="96"/>
    <x v="19"/>
    <x v="1"/>
    <x v="67"/>
    <x v="20"/>
    <x v="0"/>
    <n v="2500"/>
    <m/>
    <x v="0"/>
    <n v="0.03"/>
    <n v="75"/>
    <x v="1"/>
  </r>
  <r>
    <n v="97"/>
    <x v="19"/>
    <x v="1"/>
    <x v="85"/>
    <x v="0"/>
    <x v="0"/>
    <n v="900"/>
    <n v="11.789999999999964"/>
    <x v="0"/>
    <n v="0.03"/>
    <n v="27"/>
    <x v="1"/>
  </r>
  <r>
    <n v="98"/>
    <x v="19"/>
    <x v="1"/>
    <x v="86"/>
    <x v="0"/>
    <x v="0"/>
    <n v="5000"/>
    <n v="797.48599999999988"/>
    <x v="0"/>
    <n v="0.03"/>
    <n v="150"/>
    <x v="1"/>
  </r>
  <r>
    <n v="99"/>
    <x v="20"/>
    <x v="1"/>
    <x v="87"/>
    <x v="18"/>
    <x v="0"/>
    <n v="3000"/>
    <n v="290.35500000000002"/>
    <x v="0"/>
    <n v="0.03"/>
    <n v="90"/>
    <x v="1"/>
  </r>
  <r>
    <n v="100"/>
    <x v="21"/>
    <x v="1"/>
    <x v="88"/>
    <x v="2"/>
    <x v="0"/>
    <n v="590"/>
    <m/>
    <x v="0"/>
    <n v="0.03"/>
    <n v="17.7"/>
    <x v="1"/>
  </r>
  <r>
    <n v="101"/>
    <x v="21"/>
    <x v="1"/>
    <x v="89"/>
    <x v="2"/>
    <x v="0"/>
    <n v="590"/>
    <n v="39.059999999999945"/>
    <x v="0"/>
    <n v="0.03"/>
    <n v="17.7"/>
    <x v="1"/>
  </r>
  <r>
    <n v="102"/>
    <x v="21"/>
    <x v="1"/>
    <x v="90"/>
    <x v="2"/>
    <x v="0"/>
    <n v="500"/>
    <m/>
    <x v="0"/>
    <n v="0.03"/>
    <n v="15"/>
    <x v="1"/>
  </r>
  <r>
    <n v="103"/>
    <x v="21"/>
    <x v="1"/>
    <x v="91"/>
    <x v="0"/>
    <x v="0"/>
    <n v="3000"/>
    <n v="482.39899999999989"/>
    <x v="0"/>
    <n v="0.03"/>
    <n v="90"/>
    <x v="1"/>
  </r>
  <r>
    <n v="104"/>
    <x v="21"/>
    <x v="1"/>
    <x v="91"/>
    <x v="0"/>
    <x v="0"/>
    <n v="2000"/>
    <n v="321.60400000000004"/>
    <x v="0"/>
    <n v="0.03"/>
    <n v="60"/>
    <x v="1"/>
  </r>
  <r>
    <n v="105"/>
    <x v="21"/>
    <x v="1"/>
    <x v="92"/>
    <x v="2"/>
    <x v="0"/>
    <n v="590"/>
    <n v="39.059999999999945"/>
    <x v="0"/>
    <n v="0.03"/>
    <n v="17.7"/>
    <x v="1"/>
  </r>
  <r>
    <n v="106"/>
    <x v="21"/>
    <x v="1"/>
    <x v="93"/>
    <x v="12"/>
    <x v="0"/>
    <n v="590"/>
    <m/>
    <x v="0"/>
    <n v="0.03"/>
    <n v="17.7"/>
    <x v="1"/>
  </r>
  <r>
    <n v="107"/>
    <x v="21"/>
    <x v="1"/>
    <x v="94"/>
    <x v="0"/>
    <x v="0"/>
    <n v="600"/>
    <n v="7.8600000000000136"/>
    <x v="0"/>
    <n v="0.03"/>
    <n v="18"/>
    <x v="1"/>
  </r>
  <r>
    <n v="108"/>
    <x v="21"/>
    <x v="1"/>
    <x v="95"/>
    <x v="0"/>
    <x v="0"/>
    <n v="700"/>
    <n v="39.340000000000032"/>
    <x v="0"/>
    <n v="0.03"/>
    <n v="21"/>
    <x v="1"/>
  </r>
  <r>
    <n v="109"/>
    <x v="21"/>
    <x v="1"/>
    <x v="96"/>
    <x v="2"/>
    <x v="0"/>
    <n v="590"/>
    <n v="33.159999999999968"/>
    <x v="0"/>
    <n v="0.03"/>
    <n v="17.7"/>
    <x v="1"/>
  </r>
  <r>
    <n v="110"/>
    <x v="21"/>
    <x v="1"/>
    <x v="70"/>
    <x v="2"/>
    <x v="0"/>
    <n v="590"/>
    <n v="7.7300000000000182"/>
    <x v="0"/>
    <n v="0.03"/>
    <n v="17.7"/>
    <x v="1"/>
  </r>
  <r>
    <n v="111"/>
    <x v="21"/>
    <x v="1"/>
    <x v="97"/>
    <x v="0"/>
    <x v="0"/>
    <n v="500"/>
    <m/>
    <x v="1"/>
    <n v="0.03"/>
    <n v="15"/>
    <x v="1"/>
  </r>
  <r>
    <n v="112"/>
    <x v="21"/>
    <x v="1"/>
    <x v="98"/>
    <x v="0"/>
    <x v="0"/>
    <n v="600"/>
    <m/>
    <x v="0"/>
    <n v="0.03"/>
    <n v="18"/>
    <x v="1"/>
  </r>
  <r>
    <n v="113"/>
    <x v="22"/>
    <x v="0"/>
    <x v="99"/>
    <x v="0"/>
    <x v="0"/>
    <n v="500"/>
    <m/>
    <x v="0"/>
    <n v="0.03"/>
    <n v="15"/>
    <x v="1"/>
  </r>
  <r>
    <n v="114"/>
    <x v="22"/>
    <x v="0"/>
    <x v="100"/>
    <x v="9"/>
    <x v="0"/>
    <n v="2000"/>
    <n v="26.2"/>
    <x v="0"/>
    <n v="0.03"/>
    <n v="60"/>
    <x v="1"/>
  </r>
  <r>
    <n v="115"/>
    <x v="22"/>
    <x v="0"/>
    <x v="100"/>
    <x v="2"/>
    <x v="0"/>
    <n v="1500"/>
    <m/>
    <x v="0"/>
    <n v="0.03"/>
    <n v="45"/>
    <x v="1"/>
  </r>
  <r>
    <n v="116"/>
    <x v="23"/>
    <x v="1"/>
    <x v="101"/>
    <x v="2"/>
    <x v="0"/>
    <n v="590"/>
    <m/>
    <x v="0"/>
    <n v="0.03"/>
    <n v="17.7"/>
    <x v="1"/>
  </r>
  <r>
    <n v="117"/>
    <x v="23"/>
    <x v="1"/>
    <x v="102"/>
    <x v="0"/>
    <x v="0"/>
    <n v="1400"/>
    <m/>
    <x v="0"/>
    <n v="0.03"/>
    <n v="42"/>
    <x v="1"/>
  </r>
  <r>
    <n v="118"/>
    <x v="23"/>
    <x v="1"/>
    <x v="103"/>
    <x v="21"/>
    <x v="0"/>
    <n v="4000"/>
    <m/>
    <x v="0"/>
    <n v="0.03"/>
    <n v="120"/>
    <x v="1"/>
  </r>
  <r>
    <n v="119"/>
    <x v="23"/>
    <x v="1"/>
    <x v="104"/>
    <x v="5"/>
    <x v="0"/>
    <n v="1500"/>
    <n v="206.6099999999999"/>
    <x v="0"/>
    <n v="0.03"/>
    <n v="45"/>
    <x v="1"/>
  </r>
  <r>
    <n v="120"/>
    <x v="23"/>
    <x v="1"/>
    <x v="105"/>
    <x v="9"/>
    <x v="0"/>
    <n v="7000"/>
    <n v="964.15999999999985"/>
    <x v="0"/>
    <n v="0.03"/>
    <n v="210"/>
    <x v="1"/>
  </r>
  <r>
    <n v="121"/>
    <x v="24"/>
    <x v="1"/>
    <x v="106"/>
    <x v="2"/>
    <x v="0"/>
    <n v="590"/>
    <m/>
    <x v="0"/>
    <n v="0.03"/>
    <n v="17.7"/>
    <x v="1"/>
  </r>
  <r>
    <n v="122"/>
    <x v="24"/>
    <x v="1"/>
    <x v="107"/>
    <x v="2"/>
    <x v="0"/>
    <n v="590"/>
    <m/>
    <x v="0"/>
    <n v="0.03"/>
    <n v="17.7"/>
    <x v="1"/>
  </r>
  <r>
    <n v="123"/>
    <x v="24"/>
    <x v="1"/>
    <x v="108"/>
    <x v="2"/>
    <x v="0"/>
    <n v="590"/>
    <n v="7.73"/>
    <x v="0"/>
    <n v="0.03"/>
    <n v="17.7"/>
    <x v="1"/>
  </r>
  <r>
    <n v="124"/>
    <x v="24"/>
    <x v="1"/>
    <x v="93"/>
    <x v="9"/>
    <x v="0"/>
    <n v="6410"/>
    <m/>
    <x v="0"/>
    <n v="0.03"/>
    <n v="192.29999999999998"/>
    <x v="1"/>
  </r>
  <r>
    <n v="125"/>
    <x v="24"/>
    <x v="1"/>
    <x v="50"/>
    <x v="0"/>
    <x v="0"/>
    <n v="500"/>
    <m/>
    <x v="0"/>
    <n v="0.03"/>
    <n v="15"/>
    <x v="1"/>
  </r>
  <r>
    <n v="126"/>
    <x v="24"/>
    <x v="1"/>
    <x v="109"/>
    <x v="2"/>
    <x v="0"/>
    <n v="580"/>
    <m/>
    <x v="0"/>
    <n v="0.03"/>
    <n v="17.399999999999999"/>
    <x v="1"/>
  </r>
  <r>
    <n v="127"/>
    <x v="24"/>
    <x v="1"/>
    <x v="110"/>
    <x v="14"/>
    <x v="0"/>
    <n v="4600"/>
    <m/>
    <x v="0"/>
    <n v="0.03"/>
    <n v="138"/>
    <x v="1"/>
  </r>
  <r>
    <n v="128"/>
    <x v="24"/>
    <x v="1"/>
    <x v="49"/>
    <x v="0"/>
    <x v="0"/>
    <n v="5000"/>
    <n v="702.96399999999994"/>
    <x v="0"/>
    <n v="0.03"/>
    <n v="150"/>
    <x v="1"/>
  </r>
  <r>
    <n v="129"/>
    <x v="24"/>
    <x v="1"/>
    <x v="111"/>
    <x v="0"/>
    <x v="0"/>
    <n v="700"/>
    <m/>
    <x v="1"/>
    <n v="0.03"/>
    <n v="21"/>
    <x v="1"/>
  </r>
  <r>
    <n v="130"/>
    <x v="24"/>
    <x v="1"/>
    <x v="112"/>
    <x v="0"/>
    <x v="0"/>
    <n v="5000"/>
    <n v="702.96"/>
    <x v="0"/>
    <n v="0.03"/>
    <n v="150"/>
    <x v="1"/>
  </r>
  <r>
    <n v="131"/>
    <x v="16"/>
    <x v="1"/>
    <x v="59"/>
    <x v="0"/>
    <x v="0"/>
    <n v="5000"/>
    <m/>
    <x v="0"/>
    <n v="0.03"/>
    <n v="150"/>
    <x v="1"/>
  </r>
  <r>
    <n v="132"/>
    <x v="25"/>
    <x v="1"/>
    <x v="113"/>
    <x v="7"/>
    <x v="0"/>
    <n v="1500"/>
    <n v="145.17800000000011"/>
    <x v="0"/>
    <n v="0.03"/>
    <n v="45"/>
    <x v="1"/>
  </r>
  <r>
    <n v="133"/>
    <x v="25"/>
    <x v="1"/>
    <x v="114"/>
    <x v="2"/>
    <x v="0"/>
    <n v="700"/>
    <m/>
    <x v="0"/>
    <n v="0.03"/>
    <n v="21"/>
    <x v="1"/>
  </r>
  <r>
    <n v="134"/>
    <x v="26"/>
    <x v="1"/>
    <x v="115"/>
    <x v="2"/>
    <x v="0"/>
    <n v="590"/>
    <n v="7.73"/>
    <x v="0"/>
    <n v="0.03"/>
    <n v="17.7"/>
    <x v="1"/>
  </r>
  <r>
    <n v="135"/>
    <x v="26"/>
    <x v="1"/>
    <x v="70"/>
    <x v="6"/>
    <x v="0"/>
    <n v="300"/>
    <n v="12.733000000000004"/>
    <x v="0"/>
    <n v="0.03"/>
    <n v="9"/>
    <x v="1"/>
  </r>
  <r>
    <n v="136"/>
    <x v="26"/>
    <x v="1"/>
    <x v="116"/>
    <x v="2"/>
    <x v="0"/>
    <n v="590"/>
    <m/>
    <x v="0"/>
    <n v="0.03"/>
    <n v="17.7"/>
    <x v="1"/>
  </r>
  <r>
    <n v="137"/>
    <x v="26"/>
    <x v="1"/>
    <x v="117"/>
    <x v="2"/>
    <x v="0"/>
    <n v="590"/>
    <m/>
    <x v="0"/>
    <n v="0.03"/>
    <n v="17.7"/>
    <x v="1"/>
  </r>
  <r>
    <n v="138"/>
    <x v="26"/>
    <x v="1"/>
    <x v="52"/>
    <x v="6"/>
    <x v="0"/>
    <n v="250"/>
    <m/>
    <x v="0"/>
    <n v="0.03"/>
    <n v="7.5"/>
    <x v="1"/>
  </r>
  <r>
    <n v="139"/>
    <x v="26"/>
    <x v="1"/>
    <x v="106"/>
    <x v="3"/>
    <x v="0"/>
    <n v="11000"/>
    <m/>
    <x v="0"/>
    <n v="0.03"/>
    <n v="330"/>
    <x v="1"/>
  </r>
  <r>
    <n v="140"/>
    <x v="26"/>
    <x v="1"/>
    <x v="118"/>
    <x v="0"/>
    <x v="0"/>
    <n v="5000"/>
    <n v="797.48999999999978"/>
    <x v="0"/>
    <n v="0.03"/>
    <n v="150"/>
    <x v="1"/>
  </r>
  <r>
    <n v="141"/>
    <x v="26"/>
    <x v="0"/>
    <x v="119"/>
    <x v="10"/>
    <x v="0"/>
    <n v="600"/>
    <m/>
    <x v="0"/>
    <n v="0.03"/>
    <n v="18"/>
    <x v="1"/>
  </r>
  <r>
    <n v="142"/>
    <x v="27"/>
    <x v="0"/>
    <x v="120"/>
    <x v="0"/>
    <x v="0"/>
    <n v="10000"/>
    <m/>
    <x v="0"/>
    <n v="0.03"/>
    <n v="300"/>
    <x v="1"/>
  </r>
  <r>
    <n v="143"/>
    <x v="27"/>
    <x v="1"/>
    <x v="120"/>
    <x v="16"/>
    <x v="0"/>
    <n v="10000"/>
    <m/>
    <x v="0"/>
    <n v="0.03"/>
    <n v="300"/>
    <x v="1"/>
  </r>
  <r>
    <n v="144"/>
    <x v="28"/>
    <x v="1"/>
    <x v="43"/>
    <x v="0"/>
    <x v="0"/>
    <n v="700"/>
    <m/>
    <x v="0"/>
    <n v="0.03"/>
    <n v="21"/>
    <x v="1"/>
  </r>
  <r>
    <n v="145"/>
    <x v="28"/>
    <x v="1"/>
    <x v="121"/>
    <x v="0"/>
    <x v="0"/>
    <n v="3000"/>
    <m/>
    <x v="0"/>
    <n v="0.03"/>
    <n v="90"/>
    <x v="1"/>
  </r>
  <r>
    <n v="146"/>
    <x v="28"/>
    <x v="1"/>
    <x v="122"/>
    <x v="6"/>
    <x v="0"/>
    <n v="350"/>
    <m/>
    <x v="0"/>
    <n v="0.03"/>
    <n v="10.5"/>
    <x v="1"/>
  </r>
  <r>
    <n v="147"/>
    <x v="28"/>
    <x v="1"/>
    <x v="123"/>
    <x v="2"/>
    <x v="0"/>
    <n v="590"/>
    <m/>
    <x v="0"/>
    <n v="0.03"/>
    <n v="17.7"/>
    <x v="1"/>
  </r>
  <r>
    <n v="148"/>
    <x v="28"/>
    <x v="1"/>
    <x v="124"/>
    <x v="0"/>
    <x v="0"/>
    <n v="3000"/>
    <n v="421.57499999999982"/>
    <x v="0"/>
    <n v="0.03"/>
    <n v="90"/>
    <x v="1"/>
  </r>
  <r>
    <n v="149"/>
    <x v="28"/>
    <x v="1"/>
    <x v="125"/>
    <x v="2"/>
    <x v="0"/>
    <n v="590"/>
    <m/>
    <x v="1"/>
    <n v="0.03"/>
    <n v="17.7"/>
    <x v="1"/>
  </r>
  <r>
    <n v="150"/>
    <x v="28"/>
    <x v="1"/>
    <x v="126"/>
    <x v="2"/>
    <x v="0"/>
    <n v="600"/>
    <m/>
    <x v="0"/>
    <n v="0.03"/>
    <n v="18"/>
    <x v="1"/>
  </r>
  <r>
    <n v="151"/>
    <x v="28"/>
    <x v="1"/>
    <x v="127"/>
    <x v="2"/>
    <x v="0"/>
    <n v="590"/>
    <n v="39.059999999999945"/>
    <x v="0"/>
    <n v="0.03"/>
    <n v="17.7"/>
    <x v="1"/>
  </r>
  <r>
    <n v="152"/>
    <x v="28"/>
    <x v="1"/>
    <x v="128"/>
    <x v="0"/>
    <x v="0"/>
    <n v="2500"/>
    <n v="32.75"/>
    <x v="0"/>
    <n v="0.03"/>
    <n v="75"/>
    <x v="1"/>
  </r>
  <r>
    <n v="153"/>
    <x v="28"/>
    <x v="1"/>
    <x v="98"/>
    <x v="0"/>
    <x v="0"/>
    <n v="600"/>
    <m/>
    <x v="0"/>
    <n v="0.03"/>
    <n v="18"/>
    <x v="1"/>
  </r>
  <r>
    <n v="154"/>
    <x v="29"/>
    <x v="1"/>
    <x v="129"/>
    <x v="0"/>
    <x v="0"/>
    <n v="500"/>
    <m/>
    <x v="0"/>
    <n v="0.03"/>
    <n v="15"/>
    <x v="1"/>
  </r>
  <r>
    <n v="155"/>
    <x v="30"/>
    <x v="0"/>
    <x v="99"/>
    <x v="0"/>
    <x v="0"/>
    <n v="500"/>
    <m/>
    <x v="0"/>
    <n v="0.03"/>
    <n v="15"/>
    <x v="2"/>
  </r>
  <r>
    <n v="156"/>
    <x v="30"/>
    <x v="0"/>
    <x v="130"/>
    <x v="0"/>
    <x v="0"/>
    <n v="700"/>
    <n v="39.1"/>
    <x v="0"/>
    <n v="0.03"/>
    <n v="21"/>
    <x v="2"/>
  </r>
  <r>
    <n v="157"/>
    <x v="31"/>
    <x v="1"/>
    <x v="131"/>
    <x v="0"/>
    <x v="0"/>
    <n v="3000"/>
    <n v="421.17"/>
    <x v="0"/>
    <n v="0.03"/>
    <n v="90"/>
    <x v="2"/>
  </r>
  <r>
    <n v="158"/>
    <x v="31"/>
    <x v="1"/>
    <x v="132"/>
    <x v="2"/>
    <x v="0"/>
    <n v="600"/>
    <m/>
    <x v="0"/>
    <n v="0.03"/>
    <n v="18"/>
    <x v="2"/>
  </r>
  <r>
    <n v="159"/>
    <x v="31"/>
    <x v="1"/>
    <x v="133"/>
    <x v="2"/>
    <x v="0"/>
    <n v="600"/>
    <n v="29.69"/>
    <x v="0"/>
    <n v="0.03"/>
    <n v="18"/>
    <x v="2"/>
  </r>
  <r>
    <n v="160"/>
    <x v="31"/>
    <x v="1"/>
    <x v="134"/>
    <x v="0"/>
    <x v="0"/>
    <n v="500"/>
    <n v="27.76"/>
    <x v="0"/>
    <n v="0.03"/>
    <n v="15"/>
    <x v="2"/>
  </r>
  <r>
    <n v="161"/>
    <x v="31"/>
    <x v="1"/>
    <x v="135"/>
    <x v="2"/>
    <x v="0"/>
    <n v="600"/>
    <n v="39.590000000000003"/>
    <x v="0"/>
    <n v="0.03"/>
    <n v="18"/>
    <x v="2"/>
  </r>
  <r>
    <n v="162"/>
    <x v="31"/>
    <x v="1"/>
    <x v="136"/>
    <x v="15"/>
    <x v="0"/>
    <n v="350"/>
    <m/>
    <x v="0"/>
    <n v="0.03"/>
    <n v="10.5"/>
    <x v="2"/>
  </r>
  <r>
    <n v="163"/>
    <x v="31"/>
    <x v="1"/>
    <x v="137"/>
    <x v="0"/>
    <x v="0"/>
    <n v="3000"/>
    <n v="259.05"/>
    <x v="0"/>
    <n v="0.03"/>
    <n v="90"/>
    <x v="2"/>
  </r>
  <r>
    <n v="164"/>
    <x v="31"/>
    <x v="1"/>
    <x v="138"/>
    <x v="2"/>
    <x v="0"/>
    <n v="600"/>
    <n v="7.86"/>
    <x v="0"/>
    <n v="0.03"/>
    <n v="18"/>
    <x v="2"/>
  </r>
  <r>
    <n v="165"/>
    <x v="31"/>
    <x v="1"/>
    <x v="139"/>
    <x v="2"/>
    <x v="0"/>
    <n v="600"/>
    <n v="45.69"/>
    <x v="0"/>
    <n v="0.03"/>
    <n v="18"/>
    <x v="2"/>
  </r>
  <r>
    <n v="166"/>
    <x v="32"/>
    <x v="1"/>
    <x v="51"/>
    <x v="0"/>
    <x v="0"/>
    <n v="700"/>
    <m/>
    <x v="0"/>
    <n v="0.03"/>
    <n v="21"/>
    <x v="2"/>
  </r>
  <r>
    <n v="167"/>
    <x v="32"/>
    <x v="1"/>
    <x v="140"/>
    <x v="20"/>
    <x v="0"/>
    <n v="7800"/>
    <n v="1096.0999999999999"/>
    <x v="0"/>
    <n v="0.03"/>
    <n v="234"/>
    <x v="2"/>
  </r>
  <r>
    <n v="168"/>
    <x v="32"/>
    <x v="1"/>
    <x v="108"/>
    <x v="7"/>
    <x v="0"/>
    <n v="1500"/>
    <n v="19.649999999999999"/>
    <x v="0"/>
    <n v="0.03"/>
    <n v="45"/>
    <x v="2"/>
  </r>
  <r>
    <n v="169"/>
    <x v="32"/>
    <x v="1"/>
    <x v="141"/>
    <x v="2"/>
    <x v="0"/>
    <n v="600"/>
    <m/>
    <x v="0"/>
    <n v="0.03"/>
    <n v="18"/>
    <x v="2"/>
  </r>
  <r>
    <n v="170"/>
    <x v="32"/>
    <x v="1"/>
    <x v="96"/>
    <x v="15"/>
    <x v="0"/>
    <n v="350"/>
    <m/>
    <x v="1"/>
    <n v="0.03"/>
    <n v="10.5"/>
    <x v="2"/>
  </r>
  <r>
    <n v="171"/>
    <x v="33"/>
    <x v="1"/>
    <x v="142"/>
    <x v="14"/>
    <x v="0"/>
    <n v="2500"/>
    <n v="241.91"/>
    <x v="0"/>
    <n v="0.03"/>
    <n v="75"/>
    <x v="2"/>
  </r>
  <r>
    <n v="172"/>
    <x v="33"/>
    <x v="1"/>
    <x v="143"/>
    <x v="22"/>
    <x v="0"/>
    <n v="10000"/>
    <n v="1610.26"/>
    <x v="0"/>
    <n v="0.03"/>
    <n v="300"/>
    <x v="2"/>
  </r>
  <r>
    <n v="173"/>
    <x v="33"/>
    <x v="1"/>
    <x v="121"/>
    <x v="20"/>
    <x v="0"/>
    <n v="2500"/>
    <n v="351.15"/>
    <x v="0"/>
    <n v="0.03"/>
    <n v="75"/>
    <x v="2"/>
  </r>
  <r>
    <n v="174"/>
    <x v="33"/>
    <x v="1"/>
    <x v="78"/>
    <x v="16"/>
    <x v="0"/>
    <n v="1000"/>
    <m/>
    <x v="0"/>
    <n v="0.03"/>
    <n v="30"/>
    <x v="2"/>
  </r>
  <r>
    <n v="175"/>
    <x v="33"/>
    <x v="1"/>
    <x v="117"/>
    <x v="6"/>
    <x v="0"/>
    <n v="350"/>
    <m/>
    <x v="0"/>
    <n v="0.03"/>
    <n v="10.5"/>
    <x v="2"/>
  </r>
  <r>
    <n v="176"/>
    <x v="33"/>
    <x v="1"/>
    <x v="144"/>
    <x v="2"/>
    <x v="0"/>
    <n v="590"/>
    <n v="39.06"/>
    <x v="0"/>
    <n v="0.03"/>
    <n v="17.7"/>
    <x v="2"/>
  </r>
  <r>
    <n v="177"/>
    <x v="33"/>
    <x v="1"/>
    <x v="102"/>
    <x v="0"/>
    <x v="0"/>
    <n v="700"/>
    <m/>
    <x v="0"/>
    <n v="0.03"/>
    <n v="21"/>
    <x v="2"/>
  </r>
  <r>
    <n v="178"/>
    <x v="33"/>
    <x v="1"/>
    <x v="145"/>
    <x v="0"/>
    <x v="0"/>
    <n v="1200"/>
    <n v="53.4"/>
    <x v="0"/>
    <n v="0.03"/>
    <n v="36"/>
    <x v="2"/>
  </r>
  <r>
    <n v="179"/>
    <x v="33"/>
    <x v="1"/>
    <x v="111"/>
    <x v="0"/>
    <x v="0"/>
    <n v="3000"/>
    <n v="421.38"/>
    <x v="0"/>
    <n v="0.03"/>
    <n v="90"/>
    <x v="2"/>
  </r>
  <r>
    <n v="180"/>
    <x v="33"/>
    <x v="1"/>
    <x v="146"/>
    <x v="0"/>
    <x v="0"/>
    <n v="700"/>
    <n v="46.35"/>
    <x v="0"/>
    <n v="0.03"/>
    <n v="21"/>
    <x v="2"/>
  </r>
  <r>
    <n v="181"/>
    <x v="33"/>
    <x v="1"/>
    <x v="44"/>
    <x v="6"/>
    <x v="0"/>
    <n v="300"/>
    <m/>
    <x v="0"/>
    <n v="0.03"/>
    <n v="9"/>
    <x v="2"/>
  </r>
  <r>
    <n v="182"/>
    <x v="33"/>
    <x v="1"/>
    <x v="147"/>
    <x v="6"/>
    <x v="0"/>
    <n v="350"/>
    <m/>
    <x v="0"/>
    <n v="0.03"/>
    <n v="10.5"/>
    <x v="2"/>
  </r>
  <r>
    <n v="183"/>
    <x v="33"/>
    <x v="1"/>
    <x v="102"/>
    <x v="0"/>
    <x v="0"/>
    <n v="900"/>
    <m/>
    <x v="0"/>
    <n v="0.03"/>
    <n v="27"/>
    <x v="2"/>
  </r>
  <r>
    <n v="184"/>
    <x v="33"/>
    <x v="1"/>
    <x v="148"/>
    <x v="5"/>
    <x v="0"/>
    <n v="1500"/>
    <n v="96.92"/>
    <x v="0"/>
    <n v="0.03"/>
    <n v="45"/>
    <x v="2"/>
  </r>
  <r>
    <n v="185"/>
    <x v="33"/>
    <x v="1"/>
    <x v="62"/>
    <x v="0"/>
    <x v="0"/>
    <n v="3000"/>
    <n v="417.09"/>
    <x v="0"/>
    <n v="0.03"/>
    <n v="90"/>
    <x v="2"/>
  </r>
  <r>
    <n v="186"/>
    <x v="33"/>
    <x v="1"/>
    <x v="75"/>
    <x v="18"/>
    <x v="0"/>
    <n v="300"/>
    <m/>
    <x v="0"/>
    <n v="0.03"/>
    <n v="9"/>
    <x v="2"/>
  </r>
  <r>
    <n v="187"/>
    <x v="33"/>
    <x v="1"/>
    <x v="67"/>
    <x v="0"/>
    <x v="0"/>
    <n v="3000"/>
    <n v="278.06"/>
    <x v="0"/>
    <n v="0.03"/>
    <n v="90"/>
    <x v="2"/>
  </r>
  <r>
    <n v="188"/>
    <x v="34"/>
    <x v="1"/>
    <x v="149"/>
    <x v="2"/>
    <x v="0"/>
    <n v="600"/>
    <n v="39.729999999999997"/>
    <x v="1"/>
    <n v="0.03"/>
    <n v="18"/>
    <x v="2"/>
  </r>
  <r>
    <n v="189"/>
    <x v="34"/>
    <x v="1"/>
    <x v="150"/>
    <x v="0"/>
    <x v="0"/>
    <n v="600"/>
    <m/>
    <x v="0"/>
    <n v="0.03"/>
    <n v="18"/>
    <x v="2"/>
  </r>
  <r>
    <n v="190"/>
    <x v="34"/>
    <x v="1"/>
    <x v="151"/>
    <x v="0"/>
    <x v="0"/>
    <n v="700"/>
    <n v="5.24"/>
    <x v="0"/>
    <n v="0.03"/>
    <n v="21"/>
    <x v="2"/>
  </r>
  <r>
    <n v="191"/>
    <x v="34"/>
    <x v="1"/>
    <x v="52"/>
    <x v="0"/>
    <x v="0"/>
    <n v="700"/>
    <n v="30.19"/>
    <x v="0"/>
    <n v="0.03"/>
    <n v="21"/>
    <x v="2"/>
  </r>
  <r>
    <n v="192"/>
    <x v="34"/>
    <x v="1"/>
    <x v="152"/>
    <x v="6"/>
    <x v="0"/>
    <n v="350"/>
    <n v="15.1"/>
    <x v="0"/>
    <n v="0.03"/>
    <n v="10.5"/>
    <x v="2"/>
  </r>
  <r>
    <n v="193"/>
    <x v="34"/>
    <x v="1"/>
    <x v="153"/>
    <x v="2"/>
    <x v="0"/>
    <n v="600"/>
    <n v="39.729999999999997"/>
    <x v="0"/>
    <n v="0.03"/>
    <n v="18"/>
    <x v="2"/>
  </r>
  <r>
    <n v="194"/>
    <x v="34"/>
    <x v="1"/>
    <x v="94"/>
    <x v="0"/>
    <x v="0"/>
    <n v="600"/>
    <n v="7.86"/>
    <x v="0"/>
    <n v="0.03"/>
    <n v="18"/>
    <x v="2"/>
  </r>
  <r>
    <n v="195"/>
    <x v="35"/>
    <x v="1"/>
    <x v="154"/>
    <x v="18"/>
    <x v="0"/>
    <n v="5000"/>
    <n v="387.14"/>
    <x v="0"/>
    <n v="0.03"/>
    <n v="150"/>
    <x v="2"/>
  </r>
  <r>
    <n v="196"/>
    <x v="36"/>
    <x v="1"/>
    <x v="155"/>
    <x v="0"/>
    <x v="0"/>
    <n v="500"/>
    <m/>
    <x v="0"/>
    <n v="0.03"/>
    <n v="15"/>
    <x v="2"/>
  </r>
  <r>
    <n v="197"/>
    <x v="36"/>
    <x v="1"/>
    <x v="156"/>
    <x v="2"/>
    <x v="0"/>
    <n v="600"/>
    <n v="7.86"/>
    <x v="0"/>
    <n v="0.03"/>
    <n v="18"/>
    <x v="2"/>
  </r>
  <r>
    <n v="198"/>
    <x v="36"/>
    <x v="1"/>
    <x v="157"/>
    <x v="5"/>
    <x v="0"/>
    <n v="1300"/>
    <n v="17.03"/>
    <x v="0"/>
    <n v="0.03"/>
    <n v="39"/>
    <x v="2"/>
  </r>
  <r>
    <n v="199"/>
    <x v="36"/>
    <x v="1"/>
    <x v="158"/>
    <x v="2"/>
    <x v="0"/>
    <n v="300"/>
    <n v="16.86"/>
    <x v="0"/>
    <n v="0.03"/>
    <n v="9"/>
    <x v="2"/>
  </r>
  <r>
    <n v="200"/>
    <x v="36"/>
    <x v="1"/>
    <x v="158"/>
    <x v="2"/>
    <x v="0"/>
    <n v="300"/>
    <n v="16.86"/>
    <x v="0"/>
    <n v="0.03"/>
    <n v="9"/>
    <x v="2"/>
  </r>
  <r>
    <n v="201"/>
    <x v="36"/>
    <x v="1"/>
    <x v="159"/>
    <x v="2"/>
    <x v="0"/>
    <n v="600"/>
    <n v="7.86"/>
    <x v="0"/>
    <n v="0.03"/>
    <n v="18"/>
    <x v="2"/>
  </r>
  <r>
    <n v="202"/>
    <x v="36"/>
    <x v="1"/>
    <x v="142"/>
    <x v="0"/>
    <x v="0"/>
    <n v="3000"/>
    <n v="3.93"/>
    <x v="0"/>
    <n v="0.03"/>
    <n v="90"/>
    <x v="2"/>
  </r>
  <r>
    <n v="203"/>
    <x v="36"/>
    <x v="1"/>
    <x v="160"/>
    <x v="23"/>
    <x v="0"/>
    <n v="1500"/>
    <n v="114.49"/>
    <x v="0"/>
    <n v="0.03"/>
    <n v="45"/>
    <x v="2"/>
  </r>
  <r>
    <n v="204"/>
    <x v="36"/>
    <x v="1"/>
    <x v="161"/>
    <x v="7"/>
    <x v="0"/>
    <n v="3000"/>
    <n v="39.300000000000182"/>
    <x v="0"/>
    <n v="0.03"/>
    <n v="90"/>
    <x v="2"/>
  </r>
  <r>
    <n v="205"/>
    <x v="36"/>
    <x v="1"/>
    <x v="130"/>
    <x v="5"/>
    <x v="0"/>
    <n v="300"/>
    <n v="3.9300000000000068"/>
    <x v="0"/>
    <n v="0.03"/>
    <n v="9"/>
    <x v="2"/>
  </r>
  <r>
    <n v="206"/>
    <x v="36"/>
    <x v="1"/>
    <x v="63"/>
    <x v="15"/>
    <x v="0"/>
    <n v="300"/>
    <m/>
    <x v="0"/>
    <n v="0.03"/>
    <n v="9"/>
    <x v="2"/>
  </r>
  <r>
    <n v="207"/>
    <x v="36"/>
    <x v="1"/>
    <x v="141"/>
    <x v="0"/>
    <x v="0"/>
    <n v="3350"/>
    <n v="470.5300000000002"/>
    <x v="0"/>
    <n v="0.03"/>
    <n v="100.5"/>
    <x v="2"/>
  </r>
  <r>
    <n v="208"/>
    <x v="37"/>
    <x v="1"/>
    <x v="70"/>
    <x v="12"/>
    <x v="0"/>
    <n v="600"/>
    <m/>
    <x v="0"/>
    <n v="0.03"/>
    <n v="18"/>
    <x v="2"/>
  </r>
  <r>
    <n v="209"/>
    <x v="37"/>
    <x v="1"/>
    <x v="162"/>
    <x v="0"/>
    <x v="0"/>
    <n v="3000"/>
    <m/>
    <x v="1"/>
    <n v="0.03"/>
    <n v="90"/>
    <x v="2"/>
  </r>
  <r>
    <n v="210"/>
    <x v="37"/>
    <x v="1"/>
    <x v="132"/>
    <x v="6"/>
    <x v="0"/>
    <n v="300"/>
    <m/>
    <x v="0"/>
    <n v="0.03"/>
    <n v="9"/>
    <x v="2"/>
  </r>
  <r>
    <n v="211"/>
    <x v="37"/>
    <x v="1"/>
    <x v="163"/>
    <x v="0"/>
    <x v="0"/>
    <n v="500"/>
    <m/>
    <x v="0"/>
    <n v="0.03"/>
    <n v="15"/>
    <x v="2"/>
  </r>
  <r>
    <n v="212"/>
    <x v="37"/>
    <x v="1"/>
    <x v="122"/>
    <x v="6"/>
    <x v="0"/>
    <n v="350"/>
    <m/>
    <x v="0"/>
    <n v="0.03"/>
    <n v="10.5"/>
    <x v="2"/>
  </r>
  <r>
    <n v="213"/>
    <x v="37"/>
    <x v="1"/>
    <x v="164"/>
    <x v="2"/>
    <x v="0"/>
    <n v="600"/>
    <n v="7.8600000000000136"/>
    <x v="0"/>
    <n v="0.03"/>
    <n v="18"/>
    <x v="2"/>
  </r>
  <r>
    <n v="214"/>
    <x v="37"/>
    <x v="1"/>
    <x v="165"/>
    <x v="18"/>
    <x v="0"/>
    <n v="700"/>
    <n v="9.1699999999999591"/>
    <x v="0"/>
    <n v="0.03"/>
    <n v="21"/>
    <x v="2"/>
  </r>
  <r>
    <n v="215"/>
    <x v="37"/>
    <x v="1"/>
    <x v="166"/>
    <x v="5"/>
    <x v="0"/>
    <n v="1300"/>
    <n v="99"/>
    <x v="0"/>
    <n v="0.03"/>
    <n v="39"/>
    <x v="2"/>
  </r>
  <r>
    <n v="216"/>
    <x v="37"/>
    <x v="1"/>
    <x v="135"/>
    <x v="6"/>
    <x v="0"/>
    <n v="350"/>
    <n v="4.589999999999975"/>
    <x v="0"/>
    <n v="0.03"/>
    <n v="10.5"/>
    <x v="2"/>
  </r>
  <r>
    <n v="217"/>
    <x v="37"/>
    <x v="1"/>
    <x v="167"/>
    <x v="5"/>
    <x v="0"/>
    <n v="2700"/>
    <n v="205.61000000000013"/>
    <x v="0"/>
    <n v="0.03"/>
    <n v="81"/>
    <x v="2"/>
  </r>
  <r>
    <n v="218"/>
    <x v="37"/>
    <x v="1"/>
    <x v="72"/>
    <x v="6"/>
    <x v="0"/>
    <n v="150"/>
    <m/>
    <x v="0"/>
    <n v="0.03"/>
    <n v="4.5"/>
    <x v="2"/>
  </r>
  <r>
    <n v="219"/>
    <x v="37"/>
    <x v="1"/>
    <x v="168"/>
    <x v="0"/>
    <x v="0"/>
    <n v="450"/>
    <n v="34.269999999999982"/>
    <x v="0"/>
    <n v="0.03"/>
    <n v="13.5"/>
    <x v="2"/>
  </r>
  <r>
    <n v="220"/>
    <x v="37"/>
    <x v="1"/>
    <x v="168"/>
    <x v="0"/>
    <x v="0"/>
    <n v="150"/>
    <m/>
    <x v="0"/>
    <n v="0.03"/>
    <n v="4.5"/>
    <x v="2"/>
  </r>
  <r>
    <n v="221"/>
    <x v="38"/>
    <x v="1"/>
    <x v="168"/>
    <x v="2"/>
    <x v="0"/>
    <n v="100"/>
    <n v="4.3900000000000006"/>
    <x v="0"/>
    <n v="0.03"/>
    <n v="3"/>
    <x v="2"/>
  </r>
  <r>
    <n v="222"/>
    <x v="38"/>
    <x v="0"/>
    <x v="119"/>
    <x v="18"/>
    <x v="0"/>
    <n v="600"/>
    <n v="33.92999999999995"/>
    <x v="0"/>
    <n v="0.03"/>
    <n v="18"/>
    <x v="2"/>
  </r>
  <r>
    <n v="223"/>
    <x v="39"/>
    <x v="1"/>
    <x v="169"/>
    <x v="2"/>
    <x v="0"/>
    <n v="1100"/>
    <m/>
    <x v="0"/>
    <n v="0.03"/>
    <n v="33"/>
    <x v="2"/>
  </r>
  <r>
    <n v="224"/>
    <x v="39"/>
    <x v="1"/>
    <x v="146"/>
    <x v="0"/>
    <x v="0"/>
    <n v="1000"/>
    <n v="86.63"/>
    <x v="0"/>
    <n v="0.03"/>
    <n v="30"/>
    <x v="2"/>
  </r>
  <r>
    <n v="225"/>
    <x v="39"/>
    <x v="1"/>
    <x v="74"/>
    <x v="0"/>
    <x v="0"/>
    <n v="500"/>
    <n v="6.5500000000000114"/>
    <x v="0"/>
    <n v="0.03"/>
    <n v="15"/>
    <x v="2"/>
  </r>
  <r>
    <n v="226"/>
    <x v="39"/>
    <x v="1"/>
    <x v="53"/>
    <x v="7"/>
    <x v="0"/>
    <n v="1500"/>
    <m/>
    <x v="0"/>
    <n v="0.03"/>
    <n v="45"/>
    <x v="2"/>
  </r>
  <r>
    <n v="227"/>
    <x v="39"/>
    <x v="1"/>
    <x v="97"/>
    <x v="0"/>
    <x v="0"/>
    <n v="500"/>
    <m/>
    <x v="0"/>
    <n v="0.03"/>
    <n v="15"/>
    <x v="2"/>
  </r>
  <r>
    <n v="228"/>
    <x v="40"/>
    <x v="1"/>
    <x v="115"/>
    <x v="15"/>
    <x v="0"/>
    <n v="350"/>
    <m/>
    <x v="0"/>
    <n v="0.03"/>
    <n v="10.5"/>
    <x v="2"/>
  </r>
  <r>
    <n v="229"/>
    <x v="40"/>
    <x v="1"/>
    <x v="170"/>
    <x v="12"/>
    <x v="0"/>
    <n v="600"/>
    <n v="4.59"/>
    <x v="0"/>
    <n v="0.03"/>
    <n v="18"/>
    <x v="2"/>
  </r>
  <r>
    <n v="230"/>
    <x v="40"/>
    <x v="1"/>
    <x v="138"/>
    <x v="7"/>
    <x v="0"/>
    <n v="1800"/>
    <m/>
    <x v="1"/>
    <n v="0.03"/>
    <n v="54"/>
    <x v="2"/>
  </r>
  <r>
    <n v="231"/>
    <x v="40"/>
    <x v="1"/>
    <x v="130"/>
    <x v="5"/>
    <x v="0"/>
    <n v="1000"/>
    <n v="23.579999999999927"/>
    <x v="0"/>
    <n v="0.03"/>
    <n v="30"/>
    <x v="2"/>
  </r>
  <r>
    <n v="232"/>
    <x v="40"/>
    <x v="1"/>
    <x v="142"/>
    <x v="9"/>
    <x v="0"/>
    <n v="4000"/>
    <n v="140.60000000000002"/>
    <x v="0"/>
    <n v="0.03"/>
    <n v="120"/>
    <x v="2"/>
  </r>
  <r>
    <n v="233"/>
    <x v="40"/>
    <x v="1"/>
    <x v="171"/>
    <x v="0"/>
    <x v="0"/>
    <n v="3000"/>
    <m/>
    <x v="0"/>
    <n v="0.03"/>
    <n v="90"/>
    <x v="2"/>
  </r>
  <r>
    <n v="234"/>
    <x v="40"/>
    <x v="1"/>
    <x v="172"/>
    <x v="0"/>
    <x v="0"/>
    <n v="4000"/>
    <n v="198.65000000000009"/>
    <x v="0"/>
    <n v="0.03"/>
    <n v="120"/>
    <x v="2"/>
  </r>
  <r>
    <n v="235"/>
    <x v="41"/>
    <x v="1"/>
    <x v="173"/>
    <x v="0"/>
    <x v="0"/>
    <n v="3000"/>
    <n v="34.629999999999995"/>
    <x v="0"/>
    <n v="0.03"/>
    <n v="90"/>
    <x v="2"/>
  </r>
  <r>
    <n v="236"/>
    <x v="42"/>
    <x v="1"/>
    <x v="70"/>
    <x v="9"/>
    <x v="0"/>
    <n v="3400"/>
    <n v="286.27"/>
    <x v="0"/>
    <n v="0.03"/>
    <n v="102"/>
    <x v="2"/>
  </r>
  <r>
    <n v="237"/>
    <x v="43"/>
    <x v="1"/>
    <x v="146"/>
    <x v="0"/>
    <x v="0"/>
    <n v="2000"/>
    <m/>
    <x v="0"/>
    <n v="0.03"/>
    <n v="60"/>
    <x v="2"/>
  </r>
  <r>
    <n v="238"/>
    <x v="43"/>
    <x v="1"/>
    <x v="76"/>
    <x v="24"/>
    <x v="0"/>
    <n v="1500"/>
    <m/>
    <x v="0"/>
    <n v="0.03"/>
    <n v="45"/>
    <x v="2"/>
  </r>
  <r>
    <n v="239"/>
    <x v="44"/>
    <x v="1"/>
    <x v="174"/>
    <x v="9"/>
    <x v="0"/>
    <n v="7000"/>
    <n v="19.650000000000091"/>
    <x v="0"/>
    <n v="0.03"/>
    <n v="210"/>
    <x v="2"/>
  </r>
  <r>
    <n v="240"/>
    <x v="45"/>
    <x v="1"/>
    <x v="175"/>
    <x v="25"/>
    <x v="0"/>
    <n v="2000"/>
    <m/>
    <x v="0"/>
    <n v="0.03"/>
    <n v="60"/>
    <x v="2"/>
  </r>
  <r>
    <n v="241"/>
    <x v="44"/>
    <x v="1"/>
    <x v="170"/>
    <x v="25"/>
    <x v="0"/>
    <n v="14000"/>
    <n v="1965.4500000000007"/>
    <x v="0"/>
    <n v="0.03"/>
    <n v="420"/>
    <x v="2"/>
  </r>
  <r>
    <n v="242"/>
    <x v="46"/>
    <x v="1"/>
    <x v="176"/>
    <x v="23"/>
    <x v="0"/>
    <n v="1500"/>
    <n v="114.22"/>
    <x v="1"/>
    <n v="0.03"/>
    <n v="45"/>
    <x v="3"/>
  </r>
  <r>
    <n v="243"/>
    <x v="46"/>
    <x v="1"/>
    <x v="177"/>
    <x v="2"/>
    <x v="0"/>
    <n v="600"/>
    <m/>
    <x v="0"/>
    <n v="0.03"/>
    <n v="18"/>
    <x v="3"/>
  </r>
  <r>
    <n v="244"/>
    <x v="47"/>
    <x v="1"/>
    <x v="178"/>
    <x v="0"/>
    <x v="0"/>
    <n v="5000"/>
    <n v="735.69"/>
    <x v="0"/>
    <n v="0.03"/>
    <n v="150"/>
    <x v="3"/>
  </r>
  <r>
    <n v="245"/>
    <x v="47"/>
    <x v="1"/>
    <x v="65"/>
    <x v="2"/>
    <x v="0"/>
    <n v="600"/>
    <m/>
    <x v="0"/>
    <n v="0.03"/>
    <n v="18"/>
    <x v="3"/>
  </r>
  <r>
    <n v="246"/>
    <x v="47"/>
    <x v="1"/>
    <x v="122"/>
    <x v="7"/>
    <x v="0"/>
    <n v="1000"/>
    <m/>
    <x v="0"/>
    <n v="0.03"/>
    <n v="30"/>
    <x v="3"/>
  </r>
  <r>
    <n v="247"/>
    <x v="47"/>
    <x v="1"/>
    <x v="136"/>
    <x v="2"/>
    <x v="0"/>
    <n v="600"/>
    <m/>
    <x v="0"/>
    <n v="0.03"/>
    <n v="18"/>
    <x v="3"/>
  </r>
  <r>
    <n v="248"/>
    <x v="47"/>
    <x v="1"/>
    <x v="157"/>
    <x v="5"/>
    <x v="0"/>
    <n v="1000"/>
    <n v="13.1"/>
    <x v="0"/>
    <n v="0.03"/>
    <n v="30"/>
    <x v="3"/>
  </r>
  <r>
    <n v="249"/>
    <x v="48"/>
    <x v="1"/>
    <x v="179"/>
    <x v="6"/>
    <x v="0"/>
    <n v="350"/>
    <n v="19.670000000000002"/>
    <x v="0"/>
    <n v="0.03"/>
    <n v="10.5"/>
    <x v="3"/>
  </r>
  <r>
    <n v="250"/>
    <x v="48"/>
    <x v="1"/>
    <x v="180"/>
    <x v="23"/>
    <x v="0"/>
    <n v="1800"/>
    <n v="155.91999999999999"/>
    <x v="0"/>
    <n v="0.03"/>
    <n v="54"/>
    <x v="3"/>
  </r>
  <r>
    <n v="251"/>
    <x v="48"/>
    <x v="1"/>
    <x v="180"/>
    <x v="2"/>
    <x v="0"/>
    <n v="600"/>
    <n v="39.72"/>
    <x v="0"/>
    <n v="0.03"/>
    <n v="18"/>
    <x v="3"/>
  </r>
  <r>
    <n v="252"/>
    <x v="48"/>
    <x v="1"/>
    <x v="79"/>
    <x v="6"/>
    <x v="0"/>
    <n v="150"/>
    <n v="6.67"/>
    <x v="0"/>
    <n v="0.03"/>
    <n v="4.5"/>
    <x v="3"/>
  </r>
  <r>
    <n v="253"/>
    <x v="48"/>
    <x v="1"/>
    <x v="181"/>
    <x v="7"/>
    <x v="0"/>
    <n v="1000"/>
    <n v="13.1"/>
    <x v="0"/>
    <n v="0.03"/>
    <n v="30"/>
    <x v="3"/>
  </r>
  <r>
    <n v="254"/>
    <x v="48"/>
    <x v="1"/>
    <x v="164"/>
    <x v="6"/>
    <x v="0"/>
    <n v="350"/>
    <n v="4.58"/>
    <x v="1"/>
    <n v="0.03"/>
    <n v="10.5"/>
    <x v="3"/>
  </r>
  <r>
    <n v="255"/>
    <x v="48"/>
    <x v="1"/>
    <x v="159"/>
    <x v="6"/>
    <x v="0"/>
    <n v="350"/>
    <m/>
    <x v="0"/>
    <n v="0.03"/>
    <n v="10.5"/>
    <x v="3"/>
  </r>
  <r>
    <n v="256"/>
    <x v="48"/>
    <x v="1"/>
    <x v="75"/>
    <x v="18"/>
    <x v="0"/>
    <n v="200"/>
    <m/>
    <x v="0"/>
    <n v="0.03"/>
    <n v="6"/>
    <x v="3"/>
  </r>
  <r>
    <n v="257"/>
    <x v="49"/>
    <x v="1"/>
    <x v="177"/>
    <x v="25"/>
    <x v="0"/>
    <n v="5000"/>
    <m/>
    <x v="0"/>
    <n v="0.03"/>
    <n v="150"/>
    <x v="3"/>
  </r>
  <r>
    <n v="258"/>
    <x v="49"/>
    <x v="1"/>
    <x v="182"/>
    <x v="14"/>
    <x v="0"/>
    <n v="250"/>
    <m/>
    <x v="0"/>
    <n v="0.03"/>
    <n v="7.5"/>
    <x v="3"/>
  </r>
  <r>
    <n v="259"/>
    <x v="50"/>
    <x v="1"/>
    <x v="175"/>
    <x v="25"/>
    <x v="0"/>
    <n v="5000"/>
    <n v="701.94"/>
    <x v="0"/>
    <n v="0.03"/>
    <n v="150"/>
    <x v="3"/>
  </r>
  <r>
    <n v="260"/>
    <x v="50"/>
    <x v="1"/>
    <x v="43"/>
    <x v="0"/>
    <x v="0"/>
    <n v="700"/>
    <n v="30.19"/>
    <x v="0"/>
    <n v="0.03"/>
    <n v="21"/>
    <x v="3"/>
  </r>
  <r>
    <n v="261"/>
    <x v="51"/>
    <x v="1"/>
    <x v="177"/>
    <x v="25"/>
    <x v="0"/>
    <n v="3200"/>
    <m/>
    <x v="0"/>
    <n v="0.03"/>
    <n v="96"/>
    <x v="3"/>
  </r>
  <r>
    <n v="262"/>
    <x v="52"/>
    <x v="1"/>
    <x v="183"/>
    <x v="0"/>
    <x v="0"/>
    <n v="700"/>
    <n v="1.31"/>
    <x v="1"/>
    <n v="0.03"/>
    <n v="21"/>
    <x v="3"/>
  </r>
  <r>
    <n v="263"/>
    <x v="52"/>
    <x v="1"/>
    <x v="78"/>
    <x v="0"/>
    <x v="0"/>
    <n v="1000"/>
    <m/>
    <x v="0"/>
    <n v="0.03"/>
    <n v="30"/>
    <x v="3"/>
  </r>
  <r>
    <n v="264"/>
    <x v="52"/>
    <x v="1"/>
    <x v="107"/>
    <x v="0"/>
    <x v="0"/>
    <n v="4800"/>
    <m/>
    <x v="0"/>
    <n v="0.03"/>
    <n v="144"/>
    <x v="3"/>
  </r>
  <r>
    <n v="265"/>
    <x v="52"/>
    <x v="1"/>
    <x v="46"/>
    <x v="26"/>
    <x v="0"/>
    <n v="280"/>
    <m/>
    <x v="0"/>
    <n v="0.03"/>
    <n v="8.4"/>
    <x v="3"/>
  </r>
  <r>
    <n v="266"/>
    <x v="53"/>
    <x v="1"/>
    <x v="184"/>
    <x v="7"/>
    <x v="0"/>
    <n v="1000"/>
    <n v="4.5"/>
    <x v="0"/>
    <n v="0.03"/>
    <n v="30"/>
    <x v="3"/>
  </r>
  <r>
    <n v="267"/>
    <x v="53"/>
    <x v="1"/>
    <x v="65"/>
    <x v="0"/>
    <x v="0"/>
    <n v="600"/>
    <n v="4.5"/>
    <x v="0"/>
    <n v="0.03"/>
    <n v="18"/>
    <x v="3"/>
  </r>
  <r>
    <n v="268"/>
    <x v="54"/>
    <x v="1"/>
    <x v="60"/>
    <x v="0"/>
    <x v="0"/>
    <n v="2000"/>
    <n v="60.99"/>
    <x v="0"/>
    <n v="0.03"/>
    <n v="60"/>
    <x v="3"/>
  </r>
  <r>
    <n v="269"/>
    <x v="54"/>
    <x v="1"/>
    <x v="185"/>
    <x v="0"/>
    <x v="0"/>
    <n v="1400"/>
    <n v="96.63"/>
    <x v="0"/>
    <n v="0.03"/>
    <n v="42"/>
    <x v="3"/>
  </r>
  <r>
    <n v="270"/>
    <x v="54"/>
    <x v="1"/>
    <x v="105"/>
    <x v="0"/>
    <x v="0"/>
    <n v="600"/>
    <m/>
    <x v="0"/>
    <n v="0.03"/>
    <n v="18"/>
    <x v="3"/>
  </r>
  <r>
    <n v="271"/>
    <x v="55"/>
    <x v="1"/>
    <x v="65"/>
    <x v="6"/>
    <x v="0"/>
    <n v="350"/>
    <m/>
    <x v="0"/>
    <n v="0.03"/>
    <n v="10.5"/>
    <x v="3"/>
  </r>
  <r>
    <n v="272"/>
    <x v="55"/>
    <x v="1"/>
    <x v="186"/>
    <x v="7"/>
    <x v="0"/>
    <n v="1000"/>
    <n v="13.1"/>
    <x v="1"/>
    <n v="0.03"/>
    <n v="30"/>
    <x v="3"/>
  </r>
  <r>
    <n v="273"/>
    <x v="55"/>
    <x v="1"/>
    <x v="187"/>
    <x v="2"/>
    <x v="0"/>
    <n v="600"/>
    <m/>
    <x v="0"/>
    <n v="0.03"/>
    <n v="18"/>
    <x v="3"/>
  </r>
  <r>
    <n v="274"/>
    <x v="55"/>
    <x v="1"/>
    <x v="188"/>
    <x v="9"/>
    <x v="0"/>
    <n v="4000"/>
    <n v="123.59"/>
    <x v="0"/>
    <n v="0.03"/>
    <n v="120"/>
    <x v="3"/>
  </r>
  <r>
    <n v="275"/>
    <x v="55"/>
    <x v="1"/>
    <x v="189"/>
    <x v="18"/>
    <x v="0"/>
    <n v="5000"/>
    <m/>
    <x v="0"/>
    <n v="0.03"/>
    <n v="150"/>
    <x v="3"/>
  </r>
  <r>
    <n v="276"/>
    <x v="55"/>
    <x v="1"/>
    <x v="74"/>
    <x v="0"/>
    <x v="0"/>
    <n v="500"/>
    <m/>
    <x v="0"/>
    <n v="0.03"/>
    <n v="15"/>
    <x v="3"/>
  </r>
  <r>
    <n v="277"/>
    <x v="55"/>
    <x v="1"/>
    <x v="60"/>
    <x v="0"/>
    <x v="0"/>
    <n v="1000"/>
    <m/>
    <x v="0"/>
    <n v="0.03"/>
    <n v="30"/>
    <x v="3"/>
  </r>
  <r>
    <n v="278"/>
    <x v="55"/>
    <x v="1"/>
    <x v="190"/>
    <x v="0"/>
    <x v="0"/>
    <n v="700"/>
    <n v="25.35"/>
    <x v="0"/>
    <n v="0.03"/>
    <n v="21"/>
    <x v="3"/>
  </r>
  <r>
    <n v="279"/>
    <x v="55"/>
    <x v="1"/>
    <x v="191"/>
    <x v="6"/>
    <x v="0"/>
    <n v="300"/>
    <m/>
    <x v="0"/>
    <n v="0.03"/>
    <n v="9"/>
    <x v="3"/>
  </r>
  <r>
    <n v="280"/>
    <x v="42"/>
    <x v="1"/>
    <x v="125"/>
    <x v="23"/>
    <x v="0"/>
    <n v="3000"/>
    <m/>
    <x v="0"/>
    <n v="0.03"/>
    <n v="90"/>
    <x v="2"/>
  </r>
  <r>
    <n v="281"/>
    <x v="42"/>
    <x v="1"/>
    <x v="159"/>
    <x v="6"/>
    <x v="0"/>
    <n v="350"/>
    <m/>
    <x v="0"/>
    <n v="0.03"/>
    <n v="10.5"/>
    <x v="2"/>
  </r>
  <r>
    <n v="282"/>
    <x v="42"/>
    <x v="1"/>
    <x v="181"/>
    <x v="7"/>
    <x v="0"/>
    <n v="1000"/>
    <n v="7.5"/>
    <x v="0"/>
    <n v="0.03"/>
    <n v="30"/>
    <x v="2"/>
  </r>
  <r>
    <n v="283"/>
    <x v="42"/>
    <x v="1"/>
    <x v="170"/>
    <x v="18"/>
    <x v="0"/>
    <n v="3000"/>
    <n v="234.52"/>
    <x v="0"/>
    <n v="0.03"/>
    <n v="90"/>
    <x v="2"/>
  </r>
  <r>
    <n v="284"/>
    <x v="56"/>
    <x v="1"/>
    <x v="192"/>
    <x v="0"/>
    <x v="0"/>
    <n v="2700"/>
    <n v="140.21"/>
    <x v="0"/>
    <n v="0.03"/>
    <n v="81"/>
    <x v="3"/>
  </r>
  <r>
    <n v="285"/>
    <x v="56"/>
    <x v="1"/>
    <x v="76"/>
    <x v="0"/>
    <x v="0"/>
    <n v="2000"/>
    <n v="140.21"/>
    <x v="1"/>
    <n v="0.03"/>
    <n v="60"/>
    <x v="3"/>
  </r>
  <r>
    <n v="286"/>
    <x v="56"/>
    <x v="1"/>
    <x v="76"/>
    <x v="0"/>
    <x v="0"/>
    <n v="2000"/>
    <n v="140.21"/>
    <x v="0"/>
    <n v="0.03"/>
    <n v="60"/>
    <x v="3"/>
  </r>
  <r>
    <n v="287"/>
    <x v="56"/>
    <x v="1"/>
    <x v="193"/>
    <x v="6"/>
    <x v="0"/>
    <n v="350"/>
    <m/>
    <x v="0"/>
    <n v="0.03"/>
    <n v="10.5"/>
    <x v="3"/>
  </r>
  <r>
    <n v="288"/>
    <x v="56"/>
    <x v="1"/>
    <x v="194"/>
    <x v="2"/>
    <x v="0"/>
    <n v="600"/>
    <n v="27.58"/>
    <x v="0"/>
    <n v="0.03"/>
    <n v="18"/>
    <x v="3"/>
  </r>
  <r>
    <n v="289"/>
    <x v="57"/>
    <x v="1"/>
    <x v="102"/>
    <x v="0"/>
    <x v="0"/>
    <n v="1600"/>
    <m/>
    <x v="0"/>
    <n v="0.03"/>
    <n v="48"/>
    <x v="3"/>
  </r>
  <r>
    <n v="290"/>
    <x v="57"/>
    <x v="1"/>
    <x v="195"/>
    <x v="2"/>
    <x v="0"/>
    <n v="600"/>
    <n v="27.58"/>
    <x v="1"/>
    <n v="0.03"/>
    <n v="18"/>
    <x v="3"/>
  </r>
  <r>
    <n v="291"/>
    <x v="57"/>
    <x v="1"/>
    <x v="52"/>
    <x v="0"/>
    <x v="0"/>
    <n v="2500"/>
    <n v="240.98"/>
    <x v="0"/>
    <n v="0.03"/>
    <n v="75"/>
    <x v="3"/>
  </r>
  <r>
    <n v="292"/>
    <x v="57"/>
    <x v="1"/>
    <x v="52"/>
    <x v="0"/>
    <x v="0"/>
    <n v="500"/>
    <n v="26.32"/>
    <x v="0"/>
    <n v="0.03"/>
    <n v="15"/>
    <x v="3"/>
  </r>
  <r>
    <n v="293"/>
    <x v="57"/>
    <x v="1"/>
    <x v="53"/>
    <x v="7"/>
    <x v="0"/>
    <n v="1490"/>
    <m/>
    <x v="0"/>
    <n v="0.03"/>
    <n v="44.699999999999996"/>
    <x v="3"/>
  </r>
  <r>
    <n v="294"/>
    <x v="57"/>
    <x v="1"/>
    <x v="196"/>
    <x v="9"/>
    <x v="0"/>
    <n v="4000"/>
    <m/>
    <x v="0"/>
    <n v="0.03"/>
    <n v="120"/>
    <x v="3"/>
  </r>
  <r>
    <n v="295"/>
    <x v="58"/>
    <x v="1"/>
    <x v="181"/>
    <x v="0"/>
    <x v="0"/>
    <n v="4700"/>
    <m/>
    <x v="0"/>
    <n v="0.03"/>
    <n v="141"/>
    <x v="3"/>
  </r>
  <r>
    <n v="296"/>
    <x v="59"/>
    <x v="0"/>
    <x v="197"/>
    <x v="0"/>
    <x v="0"/>
    <n v="600"/>
    <m/>
    <x v="0"/>
    <n v="0.03"/>
    <n v="18"/>
    <x v="3"/>
  </r>
  <r>
    <n v="297"/>
    <x v="59"/>
    <x v="0"/>
    <x v="99"/>
    <x v="0"/>
    <x v="0"/>
    <n v="500"/>
    <m/>
    <x v="0"/>
    <n v="0.03"/>
    <n v="15"/>
    <x v="3"/>
  </r>
  <r>
    <n v="298"/>
    <x v="51"/>
    <x v="0"/>
    <x v="198"/>
    <x v="18"/>
    <x v="0"/>
    <n v="600"/>
    <n v="33.72"/>
    <x v="0"/>
    <n v="0.03"/>
    <n v="18"/>
    <x v="3"/>
  </r>
  <r>
    <n v="299"/>
    <x v="51"/>
    <x v="0"/>
    <x v="199"/>
    <x v="2"/>
    <x v="0"/>
    <n v="600"/>
    <n v="45.79"/>
    <x v="0"/>
    <n v="0.03"/>
    <n v="18"/>
    <x v="3"/>
  </r>
  <r>
    <n v="300"/>
    <x v="60"/>
    <x v="0"/>
    <x v="200"/>
    <x v="2"/>
    <x v="0"/>
    <n v="600"/>
    <n v="7.86"/>
    <x v="0"/>
    <n v="0.03"/>
    <n v="18"/>
    <x v="3"/>
  </r>
  <r>
    <n v="301"/>
    <x v="60"/>
    <x v="0"/>
    <x v="201"/>
    <x v="15"/>
    <x v="0"/>
    <n v="350"/>
    <n v="19.670000000000002"/>
    <x v="0"/>
    <n v="0.03"/>
    <n v="10.5"/>
    <x v="3"/>
  </r>
  <r>
    <n v="302"/>
    <x v="61"/>
    <x v="0"/>
    <x v="99"/>
    <x v="0"/>
    <x v="0"/>
    <n v="500"/>
    <m/>
    <x v="0"/>
    <n v="0.03"/>
    <n v="15"/>
    <x v="3"/>
  </r>
  <r>
    <n v="303"/>
    <x v="58"/>
    <x v="0"/>
    <x v="200"/>
    <x v="9"/>
    <x v="0"/>
    <n v="3400"/>
    <m/>
    <x v="0"/>
    <n v="0.03"/>
    <n v="102"/>
    <x v="3"/>
  </r>
  <r>
    <n v="304"/>
    <x v="62"/>
    <x v="1"/>
    <x v="82"/>
    <x v="0"/>
    <x v="0"/>
    <n v="5000"/>
    <n v="569.09"/>
    <x v="0"/>
    <n v="0.03"/>
    <n v="150"/>
    <x v="4"/>
  </r>
  <r>
    <n v="305"/>
    <x v="62"/>
    <x v="1"/>
    <x v="202"/>
    <x v="2"/>
    <x v="0"/>
    <n v="600"/>
    <m/>
    <x v="1"/>
    <n v="0.03"/>
    <n v="18"/>
    <x v="4"/>
  </r>
  <r>
    <n v="306"/>
    <x v="62"/>
    <x v="1"/>
    <x v="138"/>
    <x v="0"/>
    <x v="0"/>
    <n v="2500"/>
    <n v="18.75"/>
    <x v="0"/>
    <n v="0.03"/>
    <n v="75"/>
    <x v="4"/>
  </r>
  <r>
    <n v="307"/>
    <x v="62"/>
    <x v="1"/>
    <x v="62"/>
    <x v="0"/>
    <x v="0"/>
    <n v="700"/>
    <n v="31.79"/>
    <x v="0"/>
    <n v="0.03"/>
    <n v="21"/>
    <x v="4"/>
  </r>
  <r>
    <n v="308"/>
    <x v="63"/>
    <x v="1"/>
    <x v="203"/>
    <x v="18"/>
    <x v="0"/>
    <n v="500"/>
    <m/>
    <x v="0"/>
    <n v="0.03"/>
    <n v="15"/>
    <x v="4"/>
  </r>
  <r>
    <n v="309"/>
    <x v="63"/>
    <x v="1"/>
    <x v="62"/>
    <x v="0"/>
    <x v="0"/>
    <n v="2300"/>
    <n v="261.41000000000003"/>
    <x v="0"/>
    <n v="0.03"/>
    <n v="69"/>
    <x v="4"/>
  </r>
  <r>
    <n v="310"/>
    <x v="64"/>
    <x v="1"/>
    <x v="204"/>
    <x v="2"/>
    <x v="0"/>
    <n v="600"/>
    <n v="4.5"/>
    <x v="0"/>
    <n v="0.03"/>
    <n v="18"/>
    <x v="4"/>
  </r>
  <r>
    <n v="311"/>
    <x v="64"/>
    <x v="1"/>
    <x v="164"/>
    <x v="23"/>
    <x v="0"/>
    <n v="2500"/>
    <n v="18.75"/>
    <x v="1"/>
    <n v="0.03"/>
    <n v="75"/>
    <x v="4"/>
  </r>
  <r>
    <n v="312"/>
    <x v="64"/>
    <x v="1"/>
    <x v="205"/>
    <x v="0"/>
    <x v="0"/>
    <n v="2300"/>
    <n v="200.17"/>
    <x v="0"/>
    <n v="0.03"/>
    <n v="69"/>
    <x v="4"/>
  </r>
  <r>
    <n v="313"/>
    <x v="64"/>
    <x v="1"/>
    <x v="75"/>
    <x v="18"/>
    <x v="0"/>
    <n v="200"/>
    <m/>
    <x v="0"/>
    <n v="0.03"/>
    <n v="6"/>
    <x v="4"/>
  </r>
  <r>
    <n v="314"/>
    <x v="65"/>
    <x v="1"/>
    <x v="206"/>
    <x v="0"/>
    <x v="0"/>
    <n v="1400"/>
    <n v="10.5"/>
    <x v="0"/>
    <n v="0.03"/>
    <n v="42"/>
    <x v="4"/>
  </r>
  <r>
    <n v="315"/>
    <x v="65"/>
    <x v="1"/>
    <x v="79"/>
    <x v="6"/>
    <x v="0"/>
    <n v="150"/>
    <n v="5.6"/>
    <x v="0"/>
    <n v="0.03"/>
    <n v="4.5"/>
    <x v="4"/>
  </r>
  <r>
    <n v="316"/>
    <x v="65"/>
    <x v="1"/>
    <x v="159"/>
    <x v="6"/>
    <x v="0"/>
    <n v="350"/>
    <n v="12.68"/>
    <x v="0"/>
    <n v="0.03"/>
    <n v="10.5"/>
    <x v="4"/>
  </r>
  <r>
    <n v="317"/>
    <x v="65"/>
    <x v="1"/>
    <x v="195"/>
    <x v="15"/>
    <x v="0"/>
    <n v="300"/>
    <n v="11.19"/>
    <x v="0"/>
    <n v="0.03"/>
    <n v="9"/>
    <x v="4"/>
  </r>
  <r>
    <n v="318"/>
    <x v="65"/>
    <x v="1"/>
    <x v="207"/>
    <x v="2"/>
    <x v="0"/>
    <n v="600"/>
    <m/>
    <x v="0"/>
    <n v="0.03"/>
    <n v="18"/>
    <x v="4"/>
  </r>
  <r>
    <n v="319"/>
    <x v="65"/>
    <x v="1"/>
    <x v="208"/>
    <x v="0"/>
    <x v="0"/>
    <n v="4300"/>
    <n v="301.45999999999998"/>
    <x v="0"/>
    <n v="0.03"/>
    <n v="129"/>
    <x v="4"/>
  </r>
  <r>
    <n v="320"/>
    <x v="65"/>
    <x v="1"/>
    <x v="207"/>
    <x v="7"/>
    <x v="0"/>
    <n v="1800"/>
    <m/>
    <x v="0"/>
    <n v="0.03"/>
    <n v="54"/>
    <x v="4"/>
  </r>
  <r>
    <n v="321"/>
    <x v="66"/>
    <x v="1"/>
    <x v="209"/>
    <x v="2"/>
    <x v="0"/>
    <n v="580"/>
    <m/>
    <x v="0"/>
    <n v="0.03"/>
    <n v="17.399999999999999"/>
    <x v="4"/>
  </r>
  <r>
    <n v="322"/>
    <x v="66"/>
    <x v="1"/>
    <x v="210"/>
    <x v="9"/>
    <x v="0"/>
    <n v="4500"/>
    <n v="511.21"/>
    <x v="0"/>
    <n v="0.03"/>
    <n v="135"/>
    <x v="4"/>
  </r>
  <r>
    <n v="323"/>
    <x v="66"/>
    <x v="1"/>
    <x v="211"/>
    <x v="9"/>
    <x v="0"/>
    <n v="4000"/>
    <m/>
    <x v="0"/>
    <n v="0.03"/>
    <n v="120"/>
    <x v="4"/>
  </r>
  <r>
    <n v="324"/>
    <x v="66"/>
    <x v="1"/>
    <x v="212"/>
    <x v="2"/>
    <x v="0"/>
    <n v="600"/>
    <m/>
    <x v="0"/>
    <n v="0.03"/>
    <n v="18"/>
    <x v="4"/>
  </r>
  <r>
    <n v="325"/>
    <x v="66"/>
    <x v="1"/>
    <x v="163"/>
    <x v="15"/>
    <x v="0"/>
    <n v="400"/>
    <m/>
    <x v="0"/>
    <n v="0.03"/>
    <n v="12"/>
    <x v="4"/>
  </r>
  <r>
    <n v="326"/>
    <x v="66"/>
    <x v="1"/>
    <x v="86"/>
    <x v="2"/>
    <x v="0"/>
    <n v="600"/>
    <n v="1.5"/>
    <x v="0"/>
    <n v="0.03"/>
    <n v="18"/>
    <x v="4"/>
  </r>
  <r>
    <n v="327"/>
    <x v="66"/>
    <x v="1"/>
    <x v="46"/>
    <x v="26"/>
    <x v="0"/>
    <n v="750"/>
    <m/>
    <x v="0"/>
    <n v="0.03"/>
    <n v="22.5"/>
    <x v="4"/>
  </r>
  <r>
    <n v="328"/>
    <x v="66"/>
    <x v="1"/>
    <x v="43"/>
    <x v="27"/>
    <x v="0"/>
    <n v="2000"/>
    <n v="15"/>
    <x v="0"/>
    <n v="0.03"/>
    <n v="60"/>
    <x v="4"/>
  </r>
  <r>
    <n v="329"/>
    <x v="67"/>
    <x v="1"/>
    <x v="213"/>
    <x v="23"/>
    <x v="0"/>
    <n v="3000"/>
    <m/>
    <x v="1"/>
    <n v="0.03"/>
    <n v="90"/>
    <x v="4"/>
  </r>
  <r>
    <n v="330"/>
    <x v="68"/>
    <x v="1"/>
    <x v="214"/>
    <x v="27"/>
    <x v="0"/>
    <n v="2000"/>
    <n v="91.38"/>
    <x v="0"/>
    <n v="0.03"/>
    <n v="60"/>
    <x v="4"/>
  </r>
  <r>
    <n v="331"/>
    <x v="68"/>
    <x v="1"/>
    <x v="204"/>
    <x v="26"/>
    <x v="0"/>
    <n v="1350"/>
    <n v="45.66"/>
    <x v="0"/>
    <n v="0.03"/>
    <n v="40.5"/>
    <x v="4"/>
  </r>
  <r>
    <n v="332"/>
    <x v="68"/>
    <x v="1"/>
    <x v="215"/>
    <x v="12"/>
    <x v="0"/>
    <n v="600"/>
    <m/>
    <x v="0"/>
    <n v="0.03"/>
    <n v="18"/>
    <x v="4"/>
  </r>
  <r>
    <n v="333"/>
    <x v="68"/>
    <x v="1"/>
    <x v="216"/>
    <x v="5"/>
    <x v="0"/>
    <n v="1300"/>
    <n v="20.54"/>
    <x v="0"/>
    <n v="0.03"/>
    <n v="39"/>
    <x v="4"/>
  </r>
  <r>
    <n v="334"/>
    <x v="68"/>
    <x v="1"/>
    <x v="187"/>
    <x v="0"/>
    <x v="0"/>
    <n v="4500"/>
    <n v="511.21"/>
    <x v="0"/>
    <n v="0.03"/>
    <n v="135"/>
    <x v="4"/>
  </r>
  <r>
    <n v="335"/>
    <x v="68"/>
    <x v="1"/>
    <x v="187"/>
    <x v="15"/>
    <x v="0"/>
    <n v="350"/>
    <m/>
    <x v="0"/>
    <n v="0.03"/>
    <n v="10.5"/>
    <x v="4"/>
  </r>
  <r>
    <n v="336"/>
    <x v="68"/>
    <x v="1"/>
    <x v="194"/>
    <x v="15"/>
    <x v="0"/>
    <n v="325"/>
    <m/>
    <x v="0"/>
    <n v="0.03"/>
    <n v="9.75"/>
    <x v="4"/>
  </r>
  <r>
    <n v="337"/>
    <x v="68"/>
    <x v="1"/>
    <x v="217"/>
    <x v="6"/>
    <x v="0"/>
    <n v="300"/>
    <m/>
    <x v="0"/>
    <n v="0.03"/>
    <n v="9"/>
    <x v="4"/>
  </r>
  <r>
    <n v="338"/>
    <x v="68"/>
    <x v="1"/>
    <x v="89"/>
    <x v="0"/>
    <x v="0"/>
    <n v="2000"/>
    <n v="227.2"/>
    <x v="0"/>
    <n v="0.03"/>
    <n v="60"/>
    <x v="4"/>
  </r>
  <r>
    <n v="339"/>
    <x v="69"/>
    <x v="1"/>
    <x v="192"/>
    <x v="2"/>
    <x v="0"/>
    <n v="600"/>
    <n v="4.5"/>
    <x v="0"/>
    <n v="0.03"/>
    <n v="18"/>
    <x v="4"/>
  </r>
  <r>
    <n v="340"/>
    <x v="69"/>
    <x v="1"/>
    <x v="72"/>
    <x v="23"/>
    <x v="0"/>
    <n v="1500"/>
    <n v="105.16"/>
    <x v="0"/>
    <n v="0.03"/>
    <n v="45"/>
    <x v="4"/>
  </r>
  <r>
    <n v="341"/>
    <x v="69"/>
    <x v="1"/>
    <x v="218"/>
    <x v="18"/>
    <x v="0"/>
    <n v="3000"/>
    <n v="210.32"/>
    <x v="0"/>
    <n v="0.03"/>
    <n v="90"/>
    <x v="4"/>
  </r>
  <r>
    <n v="342"/>
    <x v="69"/>
    <x v="1"/>
    <x v="219"/>
    <x v="6"/>
    <x v="0"/>
    <n v="350"/>
    <m/>
    <x v="0"/>
    <n v="0.03"/>
    <n v="10.5"/>
    <x v="4"/>
  </r>
  <r>
    <n v="343"/>
    <x v="69"/>
    <x v="1"/>
    <x v="138"/>
    <x v="2"/>
    <x v="0"/>
    <n v="600"/>
    <n v="3.75"/>
    <x v="0"/>
    <n v="0.03"/>
    <n v="18"/>
    <x v="4"/>
  </r>
  <r>
    <n v="344"/>
    <x v="69"/>
    <x v="1"/>
    <x v="158"/>
    <x v="2"/>
    <x v="0"/>
    <n v="600"/>
    <n v="22.38"/>
    <x v="0"/>
    <n v="0.03"/>
    <n v="18"/>
    <x v="4"/>
  </r>
  <r>
    <n v="345"/>
    <x v="69"/>
    <x v="1"/>
    <x v="220"/>
    <x v="15"/>
    <x v="0"/>
    <n v="350"/>
    <n v="2.63"/>
    <x v="0"/>
    <n v="0.03"/>
    <n v="10.5"/>
    <x v="4"/>
  </r>
  <r>
    <n v="346"/>
    <x v="69"/>
    <x v="1"/>
    <x v="151"/>
    <x v="2"/>
    <x v="0"/>
    <n v="600"/>
    <m/>
    <x v="0"/>
    <n v="0.03"/>
    <n v="18"/>
    <x v="4"/>
  </r>
  <r>
    <n v="347"/>
    <x v="69"/>
    <x v="1"/>
    <x v="221"/>
    <x v="0"/>
    <x v="0"/>
    <n v="700"/>
    <n v="5.25"/>
    <x v="0"/>
    <n v="0.03"/>
    <n v="21"/>
    <x v="4"/>
  </r>
  <r>
    <n v="348"/>
    <x v="69"/>
    <x v="1"/>
    <x v="222"/>
    <x v="0"/>
    <x v="0"/>
    <n v="1000"/>
    <n v="113.66"/>
    <x v="0"/>
    <n v="0.03"/>
    <n v="30"/>
    <x v="4"/>
  </r>
  <r>
    <n v="349"/>
    <x v="70"/>
    <x v="1"/>
    <x v="223"/>
    <x v="2"/>
    <x v="0"/>
    <n v="600"/>
    <m/>
    <x v="0"/>
    <n v="0.03"/>
    <n v="18"/>
    <x v="4"/>
  </r>
  <r>
    <n v="350"/>
    <x v="71"/>
    <x v="1"/>
    <x v="224"/>
    <x v="6"/>
    <x v="0"/>
    <n v="350"/>
    <m/>
    <x v="1"/>
    <n v="0.03"/>
    <n v="10.5"/>
    <x v="4"/>
  </r>
  <r>
    <n v="351"/>
    <x v="71"/>
    <x v="1"/>
    <x v="225"/>
    <x v="27"/>
    <x v="0"/>
    <n v="2500"/>
    <n v="90.54"/>
    <x v="0"/>
    <n v="0.03"/>
    <n v="75"/>
    <x v="4"/>
  </r>
  <r>
    <n v="352"/>
    <x v="71"/>
    <x v="1"/>
    <x v="67"/>
    <x v="14"/>
    <x v="0"/>
    <n v="2300"/>
    <m/>
    <x v="0"/>
    <n v="0.03"/>
    <n v="69"/>
    <x v="4"/>
  </r>
  <r>
    <n v="353"/>
    <x v="71"/>
    <x v="1"/>
    <x v="157"/>
    <x v="0"/>
    <x v="0"/>
    <n v="3000"/>
    <n v="22.5"/>
    <x v="0"/>
    <n v="0.03"/>
    <n v="90"/>
    <x v="4"/>
  </r>
  <r>
    <n v="354"/>
    <x v="71"/>
    <x v="1"/>
    <x v="226"/>
    <x v="27"/>
    <x v="0"/>
    <n v="2500"/>
    <n v="90.54"/>
    <x v="0"/>
    <n v="0.03"/>
    <n v="75"/>
    <x v="4"/>
  </r>
  <r>
    <n v="355"/>
    <x v="72"/>
    <x v="1"/>
    <x v="223"/>
    <x v="15"/>
    <x v="0"/>
    <n v="350"/>
    <n v="12.68"/>
    <x v="0"/>
    <n v="0.03"/>
    <n v="10.5"/>
    <x v="4"/>
  </r>
  <r>
    <n v="356"/>
    <x v="73"/>
    <x v="1"/>
    <x v="162"/>
    <x v="23"/>
    <x v="0"/>
    <n v="1500"/>
    <m/>
    <x v="0"/>
    <n v="0.03"/>
    <n v="45"/>
    <x v="4"/>
  </r>
  <r>
    <n v="357"/>
    <x v="73"/>
    <x v="1"/>
    <x v="227"/>
    <x v="27"/>
    <x v="0"/>
    <n v="7000"/>
    <m/>
    <x v="0"/>
    <n v="0.03"/>
    <n v="210"/>
    <x v="4"/>
  </r>
  <r>
    <n v="358"/>
    <x v="73"/>
    <x v="1"/>
    <x v="228"/>
    <x v="2"/>
    <x v="0"/>
    <n v="600"/>
    <n v="32.340000000000003"/>
    <x v="0"/>
    <n v="0.03"/>
    <n v="18"/>
    <x v="4"/>
  </r>
  <r>
    <n v="359"/>
    <x v="73"/>
    <x v="1"/>
    <x v="44"/>
    <x v="2"/>
    <x v="0"/>
    <n v="600"/>
    <n v="32.340000000000003"/>
    <x v="0"/>
    <n v="0.03"/>
    <n v="18"/>
    <x v="4"/>
  </r>
  <r>
    <n v="360"/>
    <x v="73"/>
    <x v="1"/>
    <x v="44"/>
    <x v="0"/>
    <x v="0"/>
    <n v="2400"/>
    <n v="272.89999999999998"/>
    <x v="0"/>
    <n v="0.03"/>
    <n v="72"/>
    <x v="4"/>
  </r>
  <r>
    <n v="361"/>
    <x v="73"/>
    <x v="1"/>
    <x v="229"/>
    <x v="2"/>
    <x v="0"/>
    <n v="600"/>
    <n v="11.19"/>
    <x v="0"/>
    <n v="0.03"/>
    <n v="18"/>
    <x v="4"/>
  </r>
  <r>
    <n v="362"/>
    <x v="73"/>
    <x v="1"/>
    <x v="215"/>
    <x v="15"/>
    <x v="0"/>
    <n v="350"/>
    <n v="13.06"/>
    <x v="0"/>
    <n v="0.03"/>
    <n v="10.5"/>
    <x v="4"/>
  </r>
  <r>
    <n v="363"/>
    <x v="73"/>
    <x v="1"/>
    <x v="215"/>
    <x v="0"/>
    <x v="0"/>
    <n v="3000"/>
    <n v="341.13"/>
    <x v="0"/>
    <n v="0.03"/>
    <n v="90"/>
    <x v="4"/>
  </r>
  <r>
    <n v="364"/>
    <x v="73"/>
    <x v="1"/>
    <x v="230"/>
    <x v="2"/>
    <x v="0"/>
    <n v="600"/>
    <m/>
    <x v="0"/>
    <n v="0.03"/>
    <n v="18"/>
    <x v="4"/>
  </r>
  <r>
    <n v="365"/>
    <x v="73"/>
    <x v="1"/>
    <x v="231"/>
    <x v="2"/>
    <x v="0"/>
    <n v="600"/>
    <m/>
    <x v="0"/>
    <n v="0.03"/>
    <n v="18"/>
    <x v="4"/>
  </r>
  <r>
    <n v="366"/>
    <x v="73"/>
    <x v="1"/>
    <x v="232"/>
    <x v="2"/>
    <x v="0"/>
    <n v="600"/>
    <n v="4.5"/>
    <x v="0"/>
    <n v="0.03"/>
    <n v="18"/>
    <x v="4"/>
  </r>
  <r>
    <n v="367"/>
    <x v="73"/>
    <x v="1"/>
    <x v="233"/>
    <x v="5"/>
    <x v="0"/>
    <n v="1500"/>
    <n v="68.94"/>
    <x v="0"/>
    <n v="0.03"/>
    <n v="45"/>
    <x v="4"/>
  </r>
  <r>
    <n v="368"/>
    <x v="74"/>
    <x v="1"/>
    <x v="151"/>
    <x v="23"/>
    <x v="0"/>
    <n v="2000"/>
    <n v="227.2"/>
    <x v="1"/>
    <n v="0.03"/>
    <n v="60"/>
    <x v="4"/>
  </r>
  <r>
    <n v="369"/>
    <x v="74"/>
    <x v="1"/>
    <x v="62"/>
    <x v="5"/>
    <x v="0"/>
    <n v="1500"/>
    <n v="170.4"/>
    <x v="0"/>
    <n v="0.03"/>
    <n v="45"/>
    <x v="4"/>
  </r>
  <r>
    <n v="370"/>
    <x v="74"/>
    <x v="1"/>
    <x v="234"/>
    <x v="2"/>
    <x v="0"/>
    <n v="600"/>
    <m/>
    <x v="0"/>
    <n v="0.03"/>
    <n v="18"/>
    <x v="4"/>
  </r>
  <r>
    <n v="371"/>
    <x v="74"/>
    <x v="1"/>
    <x v="230"/>
    <x v="23"/>
    <x v="0"/>
    <n v="2400"/>
    <m/>
    <x v="0"/>
    <n v="0.03"/>
    <n v="72"/>
    <x v="4"/>
  </r>
  <r>
    <n v="372"/>
    <x v="75"/>
    <x v="1"/>
    <x v="235"/>
    <x v="2"/>
    <x v="0"/>
    <n v="600"/>
    <n v="4.5"/>
    <x v="0"/>
    <n v="0.03"/>
    <n v="18"/>
    <x v="4"/>
  </r>
  <r>
    <n v="373"/>
    <x v="75"/>
    <x v="1"/>
    <x v="236"/>
    <x v="27"/>
    <x v="0"/>
    <n v="1500"/>
    <m/>
    <x v="0"/>
    <n v="0.03"/>
    <n v="45"/>
    <x v="4"/>
  </r>
  <r>
    <n v="374"/>
    <x v="75"/>
    <x v="1"/>
    <x v="237"/>
    <x v="2"/>
    <x v="0"/>
    <n v="600"/>
    <m/>
    <x v="0"/>
    <n v="0.03"/>
    <n v="18"/>
    <x v="4"/>
  </r>
  <r>
    <n v="375"/>
    <x v="75"/>
    <x v="1"/>
    <x v="238"/>
    <x v="6"/>
    <x v="0"/>
    <n v="350"/>
    <m/>
    <x v="0"/>
    <n v="0.03"/>
    <n v="10.5"/>
    <x v="4"/>
  </r>
  <r>
    <n v="376"/>
    <x v="75"/>
    <x v="1"/>
    <x v="216"/>
    <x v="4"/>
    <x v="0"/>
    <n v="3000"/>
    <m/>
    <x v="0"/>
    <n v="0.03"/>
    <n v="90"/>
    <x v="4"/>
  </r>
  <r>
    <n v="377"/>
    <x v="75"/>
    <x v="1"/>
    <x v="239"/>
    <x v="2"/>
    <x v="0"/>
    <n v="600"/>
    <n v="4.5"/>
    <x v="0"/>
    <n v="0.03"/>
    <n v="18"/>
    <x v="4"/>
  </r>
  <r>
    <n v="378"/>
    <x v="75"/>
    <x v="1"/>
    <x v="187"/>
    <x v="2"/>
    <x v="0"/>
    <n v="600"/>
    <m/>
    <x v="0"/>
    <n v="0.03"/>
    <n v="18"/>
    <x v="4"/>
  </r>
  <r>
    <n v="379"/>
    <x v="75"/>
    <x v="1"/>
    <x v="221"/>
    <x v="0"/>
    <x v="0"/>
    <n v="2300"/>
    <n v="36.340000000000003"/>
    <x v="0"/>
    <n v="0.03"/>
    <n v="69"/>
    <x v="4"/>
  </r>
  <r>
    <n v="380"/>
    <x v="76"/>
    <x v="1"/>
    <x v="43"/>
    <x v="27"/>
    <x v="0"/>
    <n v="2800"/>
    <n v="141.80000000000001"/>
    <x v="0"/>
    <n v="0.03"/>
    <n v="84"/>
    <x v="4"/>
  </r>
  <r>
    <n v="381"/>
    <x v="76"/>
    <x v="1"/>
    <x v="240"/>
    <x v="4"/>
    <x v="0"/>
    <n v="1500"/>
    <n v="23.7"/>
    <x v="0"/>
    <n v="0.03"/>
    <n v="45"/>
    <x v="4"/>
  </r>
  <r>
    <n v="382"/>
    <x v="76"/>
    <x v="1"/>
    <x v="74"/>
    <x v="0"/>
    <x v="0"/>
    <n v="500"/>
    <m/>
    <x v="0"/>
    <n v="0.03"/>
    <n v="15"/>
    <x v="4"/>
  </r>
  <r>
    <n v="383"/>
    <x v="63"/>
    <x v="0"/>
    <x v="138"/>
    <x v="0"/>
    <x v="0"/>
    <n v="600"/>
    <m/>
    <x v="1"/>
    <n v="0.03"/>
    <n v="18"/>
    <x v="4"/>
  </r>
  <r>
    <n v="384"/>
    <x v="64"/>
    <x v="0"/>
    <x v="241"/>
    <x v="18"/>
    <x v="0"/>
    <n v="2500"/>
    <m/>
    <x v="0"/>
    <n v="0.03"/>
    <n v="75"/>
    <x v="4"/>
  </r>
  <r>
    <n v="385"/>
    <x v="77"/>
    <x v="0"/>
    <x v="65"/>
    <x v="7"/>
    <x v="0"/>
    <n v="1500"/>
    <m/>
    <x v="0"/>
    <n v="0.03"/>
    <n v="45"/>
    <x v="4"/>
  </r>
  <r>
    <n v="386"/>
    <x v="78"/>
    <x v="0"/>
    <x v="242"/>
    <x v="2"/>
    <x v="0"/>
    <n v="1200"/>
    <n v="22.38"/>
    <x v="0"/>
    <n v="0.03"/>
    <n v="36"/>
    <x v="4"/>
  </r>
  <r>
    <n v="387"/>
    <x v="79"/>
    <x v="0"/>
    <x v="243"/>
    <x v="2"/>
    <x v="0"/>
    <n v="600"/>
    <n v="27"/>
    <x v="0"/>
    <n v="0.03"/>
    <n v="18"/>
    <x v="4"/>
  </r>
  <r>
    <n v="388"/>
    <x v="80"/>
    <x v="0"/>
    <x v="244"/>
    <x v="5"/>
    <x v="0"/>
    <n v="1300"/>
    <m/>
    <x v="0"/>
    <n v="0.03"/>
    <n v="39"/>
    <x v="4"/>
  </r>
  <r>
    <n v="389"/>
    <x v="80"/>
    <x v="0"/>
    <x v="245"/>
    <x v="2"/>
    <x v="0"/>
    <n v="600"/>
    <m/>
    <x v="0"/>
    <n v="0.03"/>
    <n v="18"/>
    <x v="4"/>
  </r>
  <r>
    <n v="390"/>
    <x v="81"/>
    <x v="1"/>
    <x v="86"/>
    <x v="6"/>
    <x v="0"/>
    <n v="350"/>
    <m/>
    <x v="0"/>
    <n v="0.03"/>
    <n v="10.5"/>
    <x v="5"/>
  </r>
  <r>
    <n v="391"/>
    <x v="81"/>
    <x v="1"/>
    <x v="246"/>
    <x v="9"/>
    <x v="0"/>
    <n v="9000"/>
    <m/>
    <x v="0"/>
    <n v="0.03"/>
    <n v="270"/>
    <x v="5"/>
  </r>
  <r>
    <n v="392"/>
    <x v="81"/>
    <x v="1"/>
    <x v="247"/>
    <x v="2"/>
    <x v="0"/>
    <n v="600"/>
    <m/>
    <x v="0"/>
    <n v="0.03"/>
    <n v="18"/>
    <x v="5"/>
  </r>
  <r>
    <n v="393"/>
    <x v="81"/>
    <x v="1"/>
    <x v="248"/>
    <x v="2"/>
    <x v="0"/>
    <n v="600"/>
    <m/>
    <x v="0"/>
    <n v="0.03"/>
    <n v="18"/>
    <x v="5"/>
  </r>
  <r>
    <n v="394"/>
    <x v="82"/>
    <x v="1"/>
    <x v="249"/>
    <x v="27"/>
    <x v="0"/>
    <n v="2500"/>
    <m/>
    <x v="0"/>
    <n v="0.03"/>
    <n v="75"/>
    <x v="5"/>
  </r>
  <r>
    <n v="395"/>
    <x v="82"/>
    <x v="1"/>
    <x v="158"/>
    <x v="6"/>
    <x v="0"/>
    <n v="350"/>
    <m/>
    <x v="0"/>
    <n v="0.03"/>
    <n v="10.5"/>
    <x v="5"/>
  </r>
  <r>
    <n v="396"/>
    <x v="82"/>
    <x v="1"/>
    <x v="78"/>
    <x v="0"/>
    <x v="0"/>
    <n v="700"/>
    <m/>
    <x v="0"/>
    <n v="0.03"/>
    <n v="21"/>
    <x v="5"/>
  </r>
  <r>
    <n v="397"/>
    <x v="82"/>
    <x v="1"/>
    <x v="78"/>
    <x v="2"/>
    <x v="0"/>
    <n v="600"/>
    <m/>
    <x v="0"/>
    <n v="0.03"/>
    <n v="18"/>
    <x v="5"/>
  </r>
  <r>
    <n v="398"/>
    <x v="83"/>
    <x v="1"/>
    <x v="79"/>
    <x v="6"/>
    <x v="0"/>
    <n v="150"/>
    <m/>
    <x v="1"/>
    <n v="0.03"/>
    <n v="4.5"/>
    <x v="5"/>
  </r>
  <r>
    <n v="399"/>
    <x v="83"/>
    <x v="1"/>
    <x v="70"/>
    <x v="6"/>
    <x v="0"/>
    <n v="350"/>
    <m/>
    <x v="0"/>
    <n v="0.03"/>
    <n v="10.5"/>
    <x v="5"/>
  </r>
  <r>
    <n v="400"/>
    <x v="83"/>
    <x v="1"/>
    <x v="90"/>
    <x v="5"/>
    <x v="0"/>
    <n v="1900"/>
    <m/>
    <x v="0"/>
    <n v="0.03"/>
    <n v="57"/>
    <x v="5"/>
  </r>
  <r>
    <n v="401"/>
    <x v="83"/>
    <x v="1"/>
    <x v="250"/>
    <x v="6"/>
    <x v="0"/>
    <n v="350"/>
    <m/>
    <x v="0"/>
    <n v="0.03"/>
    <n v="10.5"/>
    <x v="5"/>
  </r>
  <r>
    <n v="402"/>
    <x v="84"/>
    <x v="1"/>
    <x v="251"/>
    <x v="12"/>
    <x v="0"/>
    <n v="600"/>
    <m/>
    <x v="0"/>
    <n v="0.03"/>
    <n v="18"/>
    <x v="5"/>
  </r>
  <r>
    <n v="403"/>
    <x v="84"/>
    <x v="1"/>
    <x v="251"/>
    <x v="0"/>
    <x v="0"/>
    <n v="3000"/>
    <m/>
    <x v="0"/>
    <n v="0.03"/>
    <n v="90"/>
    <x v="5"/>
  </r>
  <r>
    <n v="404"/>
    <x v="84"/>
    <x v="1"/>
    <x v="121"/>
    <x v="27"/>
    <x v="0"/>
    <n v="500"/>
    <m/>
    <x v="0"/>
    <n v="0.03"/>
    <n v="15"/>
    <x v="5"/>
  </r>
  <r>
    <n v="405"/>
    <x v="84"/>
    <x v="1"/>
    <x v="252"/>
    <x v="12"/>
    <x v="0"/>
    <n v="600"/>
    <m/>
    <x v="0"/>
    <n v="0.03"/>
    <n v="18"/>
    <x v="5"/>
  </r>
  <r>
    <n v="406"/>
    <x v="84"/>
    <x v="1"/>
    <x v="248"/>
    <x v="6"/>
    <x v="0"/>
    <n v="350"/>
    <m/>
    <x v="0"/>
    <n v="0.03"/>
    <n v="10.5"/>
    <x v="5"/>
  </r>
  <r>
    <n v="407"/>
    <x v="84"/>
    <x v="1"/>
    <x v="191"/>
    <x v="6"/>
    <x v="0"/>
    <n v="300"/>
    <m/>
    <x v="0"/>
    <n v="0.03"/>
    <n v="9"/>
    <x v="5"/>
  </r>
  <r>
    <n v="408"/>
    <x v="84"/>
    <x v="1"/>
    <x v="253"/>
    <x v="12"/>
    <x v="0"/>
    <n v="600"/>
    <m/>
    <x v="0"/>
    <n v="0.03"/>
    <n v="18"/>
    <x v="5"/>
  </r>
  <r>
    <n v="409"/>
    <x v="85"/>
    <x v="1"/>
    <x v="254"/>
    <x v="0"/>
    <x v="0"/>
    <n v="3000"/>
    <m/>
    <x v="0"/>
    <n v="0.03"/>
    <n v="90"/>
    <x v="5"/>
  </r>
  <r>
    <n v="410"/>
    <x v="85"/>
    <x v="1"/>
    <x v="164"/>
    <x v="6"/>
    <x v="0"/>
    <n v="350"/>
    <m/>
    <x v="0"/>
    <n v="0.03"/>
    <n v="10.5"/>
    <x v="5"/>
  </r>
  <r>
    <n v="411"/>
    <x v="85"/>
    <x v="1"/>
    <x v="255"/>
    <x v="2"/>
    <x v="0"/>
    <n v="600"/>
    <m/>
    <x v="1"/>
    <n v="0.03"/>
    <n v="18"/>
    <x v="5"/>
  </r>
  <r>
    <n v="412"/>
    <x v="85"/>
    <x v="1"/>
    <x v="158"/>
    <x v="6"/>
    <x v="0"/>
    <n v="350"/>
    <m/>
    <x v="0"/>
    <n v="0.03"/>
    <n v="10.5"/>
    <x v="5"/>
  </r>
  <r>
    <n v="413"/>
    <x v="85"/>
    <x v="1"/>
    <x v="256"/>
    <x v="6"/>
    <x v="0"/>
    <n v="350"/>
    <m/>
    <x v="0"/>
    <n v="0.03"/>
    <n v="10.5"/>
    <x v="5"/>
  </r>
  <r>
    <n v="414"/>
    <x v="86"/>
    <x v="1"/>
    <x v="257"/>
    <x v="25"/>
    <x v="0"/>
    <n v="9000"/>
    <m/>
    <x v="0"/>
    <n v="0.03"/>
    <n v="270"/>
    <x v="5"/>
  </r>
  <r>
    <n v="415"/>
    <x v="86"/>
    <x v="0"/>
    <x v="258"/>
    <x v="25"/>
    <x v="0"/>
    <n v="1"/>
    <m/>
    <x v="1"/>
    <n v="0.03"/>
    <n v="0.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DDCA1-BD76-48E2-B6C5-A1103BA8FB93}" name="Tabela dinâmica15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E4" firstHeaderRow="1" firstDataRow="1" firstDataCol="0"/>
  <pivotFields count="15">
    <pivotField showAll="0"/>
    <pivotField showAll="0">
      <items count="89">
        <item x="0"/>
        <item x="1"/>
        <item x="2"/>
        <item x="3"/>
        <item x="4"/>
        <item x="5"/>
        <item x="6"/>
        <item x="7"/>
        <item x="11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45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59"/>
        <item x="47"/>
        <item x="48"/>
        <item x="49"/>
        <item x="50"/>
        <item x="51"/>
        <item x="52"/>
        <item x="53"/>
        <item x="54"/>
        <item x="60"/>
        <item x="61"/>
        <item x="55"/>
        <item x="56"/>
        <item x="57"/>
        <item x="58"/>
        <item x="67"/>
        <item x="62"/>
        <item x="63"/>
        <item x="64"/>
        <item x="65"/>
        <item x="77"/>
        <item x="66"/>
        <item x="68"/>
        <item x="69"/>
        <item x="70"/>
        <item x="71"/>
        <item x="78"/>
        <item x="72"/>
        <item x="73"/>
        <item x="79"/>
        <item x="74"/>
        <item x="80"/>
        <item x="75"/>
        <item x="76"/>
        <item x="81"/>
        <item x="82"/>
        <item x="86"/>
        <item x="83"/>
        <item x="84"/>
        <item x="85"/>
        <item m="1" x="87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1"/>
        <item m="1" x="2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oma de Valor" fld="6" baseField="0" baseItem="0" numFmtId="44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81CA2-5384-40C8-BFBC-3EFF85B9DAEC}" name="Tabela dinâmica17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E9:F16" firstHeaderRow="1" firstDataRow="1" firstDataCol="1"/>
  <pivotFields count="15">
    <pivotField showAll="0"/>
    <pivotField showAll="0">
      <items count="89">
        <item x="0"/>
        <item x="1"/>
        <item x="2"/>
        <item x="3"/>
        <item x="4"/>
        <item x="5"/>
        <item x="6"/>
        <item x="7"/>
        <item x="11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45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59"/>
        <item x="47"/>
        <item x="48"/>
        <item x="49"/>
        <item x="50"/>
        <item x="51"/>
        <item x="52"/>
        <item x="53"/>
        <item x="54"/>
        <item x="60"/>
        <item x="61"/>
        <item x="55"/>
        <item x="56"/>
        <item x="57"/>
        <item x="58"/>
        <item x="67"/>
        <item x="62"/>
        <item x="63"/>
        <item x="64"/>
        <item x="65"/>
        <item x="77"/>
        <item x="66"/>
        <item x="68"/>
        <item x="69"/>
        <item x="70"/>
        <item x="71"/>
        <item x="78"/>
        <item x="72"/>
        <item x="73"/>
        <item x="79"/>
        <item x="74"/>
        <item x="80"/>
        <item x="75"/>
        <item x="76"/>
        <item x="81"/>
        <item x="82"/>
        <item x="86"/>
        <item x="83"/>
        <item x="84"/>
        <item x="85"/>
        <item m="1" x="87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4">
        <item x="1"/>
        <item m="1" x="2"/>
        <item x="0"/>
        <item t="default"/>
      </items>
    </pivotField>
    <pivotField showAll="0"/>
    <pivotField showAll="0"/>
    <pivotField axis="axisRow" showAll="0">
      <items count="8">
        <item x="0"/>
        <item x="1"/>
        <item x="2"/>
        <item m="1" x="6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Soma de Taxa Cartão" fld="7" baseField="0" baseItem="0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EBD1D-E6FD-481A-989F-00266CCAAB5A}" name="Tabela dinâ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H23:I26" firstHeaderRow="1" firstDataRow="1" firstDataCol="1"/>
  <pivotFields count="15">
    <pivotField showAll="0"/>
    <pivotField showAll="0">
      <items count="89">
        <item x="0"/>
        <item x="1"/>
        <item x="2"/>
        <item x="3"/>
        <item x="4"/>
        <item x="5"/>
        <item x="6"/>
        <item x="7"/>
        <item x="11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45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59"/>
        <item x="47"/>
        <item x="48"/>
        <item x="49"/>
        <item x="50"/>
        <item x="51"/>
        <item x="52"/>
        <item x="53"/>
        <item x="54"/>
        <item x="60"/>
        <item x="61"/>
        <item x="55"/>
        <item x="56"/>
        <item x="57"/>
        <item x="58"/>
        <item x="67"/>
        <item x="62"/>
        <item x="63"/>
        <item x="64"/>
        <item x="65"/>
        <item x="77"/>
        <item x="66"/>
        <item x="68"/>
        <item x="69"/>
        <item x="70"/>
        <item x="71"/>
        <item x="78"/>
        <item x="72"/>
        <item x="73"/>
        <item x="79"/>
        <item x="74"/>
        <item x="80"/>
        <item x="75"/>
        <item x="76"/>
        <item x="81"/>
        <item x="82"/>
        <item x="86"/>
        <item x="83"/>
        <item x="84"/>
        <item x="85"/>
        <item m="1" x="8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5">
        <item sd="0" x="0"/>
        <item sd="0" x="1"/>
        <item sd="0" x="2"/>
        <item x="3"/>
        <item t="default"/>
      </items>
    </pivotField>
  </pivotFields>
  <rowFields count="1">
    <field x="14"/>
  </rowFields>
  <rowItems count="3">
    <i>
      <x v="1"/>
    </i>
    <i>
      <x v="2"/>
    </i>
    <i t="grand">
      <x/>
    </i>
  </rowItems>
  <colItems count="1">
    <i/>
  </colItems>
  <dataFields count="1">
    <dataField name="Soma de Valor" fld="6" baseField="0" baseItem="0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8A7D1-B802-4D65-A560-52EF7EA5C2A8}" name="Tabela dinâmica1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9:B48" firstHeaderRow="1" firstDataRow="1" firstDataCol="1"/>
  <pivotFields count="15">
    <pivotField showAll="0"/>
    <pivotField showAll="0">
      <items count="89">
        <item x="0"/>
        <item x="1"/>
        <item x="2"/>
        <item x="3"/>
        <item x="4"/>
        <item x="5"/>
        <item x="6"/>
        <item x="7"/>
        <item x="11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45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59"/>
        <item x="47"/>
        <item x="48"/>
        <item x="49"/>
        <item x="50"/>
        <item x="51"/>
        <item x="52"/>
        <item x="53"/>
        <item x="54"/>
        <item x="60"/>
        <item x="61"/>
        <item x="55"/>
        <item x="56"/>
        <item x="57"/>
        <item x="58"/>
        <item x="67"/>
        <item x="62"/>
        <item x="63"/>
        <item x="64"/>
        <item x="65"/>
        <item x="77"/>
        <item x="66"/>
        <item x="68"/>
        <item x="69"/>
        <item x="70"/>
        <item x="71"/>
        <item x="78"/>
        <item x="72"/>
        <item x="73"/>
        <item x="79"/>
        <item x="74"/>
        <item x="80"/>
        <item x="75"/>
        <item x="76"/>
        <item x="81"/>
        <item x="82"/>
        <item x="86"/>
        <item x="83"/>
        <item x="84"/>
        <item x="85"/>
        <item m="1" x="87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261">
        <item x="133"/>
        <item x="213"/>
        <item x="212"/>
        <item x="72"/>
        <item x="176"/>
        <item x="117"/>
        <item x="178"/>
        <item x="102"/>
        <item x="91"/>
        <item x="244"/>
        <item x="97"/>
        <item x="246"/>
        <item x="104"/>
        <item x="153"/>
        <item x="179"/>
        <item x="121"/>
        <item x="138"/>
        <item x="182"/>
        <item x="94"/>
        <item x="65"/>
        <item x="250"/>
        <item x="74"/>
        <item x="16"/>
        <item x="162"/>
        <item x="116"/>
        <item x="170"/>
        <item x="62"/>
        <item x="255"/>
        <item x="3"/>
        <item x="238"/>
        <item x="55"/>
        <item x="219"/>
        <item x="186"/>
        <item x="161"/>
        <item x="85"/>
        <item x="140"/>
        <item x="59"/>
        <item x="236"/>
        <item x="216"/>
        <item x="134"/>
        <item x="183"/>
        <item x="172"/>
        <item x="150"/>
        <item x="113"/>
        <item x="111"/>
        <item x="53"/>
        <item x="39"/>
        <item x="25"/>
        <item x="19"/>
        <item x="154"/>
        <item x="129"/>
        <item x="95"/>
        <item x="211"/>
        <item x="96"/>
        <item x="45"/>
        <item x="105"/>
        <item x="148"/>
        <item x="251"/>
        <item x="226"/>
        <item x="220"/>
        <item x="200"/>
        <item x="66"/>
        <item x="20"/>
        <item x="225"/>
        <item x="195"/>
        <item x="52"/>
        <item x="18"/>
        <item x="56"/>
        <item x="232"/>
        <item x="223"/>
        <item x="159"/>
        <item x="29"/>
        <item x="98"/>
        <item x="130"/>
        <item x="12"/>
        <item x="206"/>
        <item x="67"/>
        <item x="9"/>
        <item x="64"/>
        <item x="194"/>
        <item x="13"/>
        <item x="158"/>
        <item x="221"/>
        <item x="33"/>
        <item x="193"/>
        <item x="173"/>
        <item x="239"/>
        <item x="93"/>
        <item x="230"/>
        <item x="163"/>
        <item x="4"/>
        <item x="84"/>
        <item x="120"/>
        <item x="233"/>
        <item x="165"/>
        <item x="149"/>
        <item x="253"/>
        <item x="160"/>
        <item x="131"/>
        <item x="235"/>
        <item x="256"/>
        <item x="189"/>
        <item x="247"/>
        <item x="215"/>
        <item x="204"/>
        <item x="47"/>
        <item x="89"/>
        <item x="2"/>
        <item x="26"/>
        <item x="71"/>
        <item x="99"/>
        <item x="0"/>
        <item x="192"/>
        <item x="23"/>
        <item x="222"/>
        <item x="122"/>
        <item x="79"/>
        <item x="101"/>
        <item x="248"/>
        <item x="241"/>
        <item x="257"/>
        <item x="34"/>
        <item x="184"/>
        <item x="169"/>
        <item x="31"/>
        <item x="37"/>
        <item x="54"/>
        <item x="69"/>
        <item x="10"/>
        <item x="57"/>
        <item x="190"/>
        <item x="228"/>
        <item x="77"/>
        <item x="81"/>
        <item x="112"/>
        <item x="177"/>
        <item x="237"/>
        <item x="50"/>
        <item x="145"/>
        <item x="224"/>
        <item x="75"/>
        <item x="114"/>
        <item x="152"/>
        <item x="92"/>
        <item x="100"/>
        <item x="218"/>
        <item x="254"/>
        <item x="156"/>
        <item x="168"/>
        <item x="124"/>
        <item x="139"/>
        <item x="151"/>
        <item x="6"/>
        <item x="209"/>
        <item x="234"/>
        <item x="108"/>
        <item x="82"/>
        <item x="87"/>
        <item x="128"/>
        <item x="107"/>
        <item x="187"/>
        <item x="231"/>
        <item x="196"/>
        <item x="136"/>
        <item x="40"/>
        <item x="146"/>
        <item x="191"/>
        <item x="46"/>
        <item x="8"/>
        <item x="1"/>
        <item x="70"/>
        <item x="14"/>
        <item x="63"/>
        <item x="41"/>
        <item x="217"/>
        <item x="28"/>
        <item x="15"/>
        <item x="73"/>
        <item x="27"/>
        <item x="11"/>
        <item x="21"/>
        <item x="32"/>
        <item x="5"/>
        <item x="144"/>
        <item x="115"/>
        <item x="126"/>
        <item x="249"/>
        <item x="119"/>
        <item x="198"/>
        <item x="49"/>
        <item x="203"/>
        <item x="181"/>
        <item x="155"/>
        <item x="135"/>
        <item x="106"/>
        <item x="205"/>
        <item x="83"/>
        <item x="43"/>
        <item x="202"/>
        <item x="207"/>
        <item x="35"/>
        <item x="68"/>
        <item x="61"/>
        <item x="141"/>
        <item x="44"/>
        <item x="208"/>
        <item x="103"/>
        <item x="17"/>
        <item x="127"/>
        <item x="185"/>
        <item x="229"/>
        <item x="174"/>
        <item x="252"/>
        <item x="210"/>
        <item x="88"/>
        <item x="245"/>
        <item x="7"/>
        <item x="78"/>
        <item x="36"/>
        <item x="188"/>
        <item x="137"/>
        <item x="51"/>
        <item x="227"/>
        <item x="86"/>
        <item x="142"/>
        <item x="240"/>
        <item x="118"/>
        <item x="125"/>
        <item x="143"/>
        <item x="166"/>
        <item x="48"/>
        <item x="242"/>
        <item x="80"/>
        <item x="123"/>
        <item x="243"/>
        <item x="58"/>
        <item x="38"/>
        <item x="90"/>
        <item x="109"/>
        <item x="76"/>
        <item x="214"/>
        <item x="157"/>
        <item x="110"/>
        <item x="258"/>
        <item x="201"/>
        <item x="199"/>
        <item x="24"/>
        <item x="132"/>
        <item x="164"/>
        <item x="180"/>
        <item x="147"/>
        <item x="30"/>
        <item x="175"/>
        <item x="42"/>
        <item x="197"/>
        <item x="60"/>
        <item x="171"/>
        <item x="167"/>
        <item x="22"/>
        <item m="1" x="259"/>
        <item t="default"/>
      </items>
    </pivotField>
    <pivotField axis="axisRow" showAll="0" sortType="descending">
      <items count="30">
        <item x="10"/>
        <item x="12"/>
        <item x="7"/>
        <item x="9"/>
        <item x="5"/>
        <item x="0"/>
        <item x="23"/>
        <item x="1"/>
        <item x="2"/>
        <item x="19"/>
        <item x="11"/>
        <item x="24"/>
        <item x="21"/>
        <item x="6"/>
        <item x="16"/>
        <item x="22"/>
        <item x="18"/>
        <item x="4"/>
        <item x="3"/>
        <item x="17"/>
        <item x="14"/>
        <item x="13"/>
        <item x="25"/>
        <item x="20"/>
        <item x="8"/>
        <item x="15"/>
        <item m="1" x="28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dataField="1" showAll="0"/>
    <pivotField showAll="0"/>
    <pivotField showAll="0">
      <items count="4">
        <item x="1"/>
        <item m="1" x="2"/>
        <item x="0"/>
        <item t="default"/>
      </items>
    </pivotField>
    <pivotField showAll="0"/>
    <pivotField showAll="0"/>
    <pivotField showAll="0">
      <items count="8">
        <item x="1"/>
        <item x="2"/>
        <item x="3"/>
        <item x="4"/>
        <item x="5"/>
        <item x="0"/>
        <item m="1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29">
    <i>
      <x v="5"/>
    </i>
    <i>
      <x v="3"/>
    </i>
    <i>
      <x v="8"/>
    </i>
    <i>
      <x v="22"/>
    </i>
    <i>
      <x v="2"/>
    </i>
    <i>
      <x v="16"/>
    </i>
    <i>
      <x v="28"/>
    </i>
    <i>
      <x v="4"/>
    </i>
    <i>
      <x v="6"/>
    </i>
    <i>
      <x v="14"/>
    </i>
    <i>
      <x v="24"/>
    </i>
    <i>
      <x v="13"/>
    </i>
    <i>
      <x v="23"/>
    </i>
    <i>
      <x v="18"/>
    </i>
    <i>
      <x v="20"/>
    </i>
    <i>
      <x v="15"/>
    </i>
    <i>
      <x v="25"/>
    </i>
    <i>
      <x v="17"/>
    </i>
    <i>
      <x v="1"/>
    </i>
    <i>
      <x v="12"/>
    </i>
    <i>
      <x v="10"/>
    </i>
    <i>
      <x v="21"/>
    </i>
    <i>
      <x v="7"/>
    </i>
    <i>
      <x v="27"/>
    </i>
    <i>
      <x v="11"/>
    </i>
    <i>
      <x v="9"/>
    </i>
    <i>
      <x/>
    </i>
    <i>
      <x v="19"/>
    </i>
    <i t="grand">
      <x/>
    </i>
  </rowItems>
  <colItems count="1">
    <i/>
  </colItems>
  <dataFields count="1">
    <dataField name="Soma de Valor" fld="6" baseField="0" baseItem="0" numFmtId="44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80980-0C17-4D29-A8A5-19858EE040D0}" name="Tabela dinâmica16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E6:E7" firstHeaderRow="1" firstDataRow="1" firstDataCol="0"/>
  <pivotFields count="15">
    <pivotField showAll="0"/>
    <pivotField showAll="0">
      <items count="89">
        <item x="0"/>
        <item x="1"/>
        <item x="2"/>
        <item x="3"/>
        <item x="4"/>
        <item x="5"/>
        <item x="6"/>
        <item x="7"/>
        <item x="11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45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59"/>
        <item x="47"/>
        <item x="48"/>
        <item x="49"/>
        <item x="50"/>
        <item x="51"/>
        <item x="52"/>
        <item x="53"/>
        <item x="54"/>
        <item x="60"/>
        <item x="61"/>
        <item x="55"/>
        <item x="56"/>
        <item x="57"/>
        <item x="58"/>
        <item x="67"/>
        <item x="62"/>
        <item x="63"/>
        <item x="64"/>
        <item x="65"/>
        <item x="77"/>
        <item x="66"/>
        <item x="68"/>
        <item x="69"/>
        <item x="70"/>
        <item x="71"/>
        <item x="78"/>
        <item x="72"/>
        <item x="73"/>
        <item x="79"/>
        <item x="74"/>
        <item x="80"/>
        <item x="75"/>
        <item x="76"/>
        <item x="81"/>
        <item x="82"/>
        <item x="86"/>
        <item x="83"/>
        <item x="84"/>
        <item x="85"/>
        <item m="1" x="87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m="1" x="2"/>
        <item x="0"/>
        <item t="default"/>
      </items>
    </pivotField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oma de Valor Comissão" fld="10" baseField="0" baseItem="0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5FB88-6F23-486E-8B95-C6A4AB98792D}" name="Tabela dinâmica1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3:B10" firstHeaderRow="1" firstDataRow="1" firstDataCol="1"/>
  <pivotFields count="15">
    <pivotField showAll="0"/>
    <pivotField showAll="0">
      <items count="89">
        <item x="0"/>
        <item x="1"/>
        <item x="2"/>
        <item x="3"/>
        <item x="4"/>
        <item x="5"/>
        <item x="6"/>
        <item x="7"/>
        <item x="11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45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59"/>
        <item x="47"/>
        <item x="48"/>
        <item x="49"/>
        <item x="50"/>
        <item x="51"/>
        <item x="52"/>
        <item x="53"/>
        <item x="54"/>
        <item x="60"/>
        <item x="61"/>
        <item x="55"/>
        <item x="56"/>
        <item x="57"/>
        <item x="58"/>
        <item x="67"/>
        <item x="62"/>
        <item x="63"/>
        <item x="64"/>
        <item x="65"/>
        <item x="77"/>
        <item x="66"/>
        <item x="68"/>
        <item x="69"/>
        <item x="70"/>
        <item x="71"/>
        <item x="78"/>
        <item x="72"/>
        <item x="73"/>
        <item x="79"/>
        <item x="74"/>
        <item x="80"/>
        <item x="75"/>
        <item x="76"/>
        <item x="81"/>
        <item x="82"/>
        <item x="86"/>
        <item x="83"/>
        <item x="84"/>
        <item x="85"/>
        <item m="1" x="87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1"/>
        <item m="1" x="2"/>
        <item x="0"/>
        <item t="default"/>
      </items>
    </pivotField>
    <pivotField showAll="0"/>
    <pivotField showAll="0"/>
    <pivotField axis="axisRow" showAll="0">
      <items count="8">
        <item x="0"/>
        <item x="1"/>
        <item x="2"/>
        <item m="1" x="6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Soma de Valor" fld="6" baseField="0" baseItem="0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B0FEB-E2A0-4887-97B8-683537A1383D}" name="Tabela dinâmica14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0:F49" firstHeaderRow="1" firstDataRow="1" firstDataCol="1"/>
  <pivotFields count="15">
    <pivotField showAll="0"/>
    <pivotField showAll="0">
      <items count="89">
        <item x="0"/>
        <item x="1"/>
        <item x="2"/>
        <item x="3"/>
        <item x="4"/>
        <item x="5"/>
        <item x="6"/>
        <item x="7"/>
        <item x="11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45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59"/>
        <item x="47"/>
        <item x="48"/>
        <item x="49"/>
        <item x="50"/>
        <item x="51"/>
        <item x="52"/>
        <item x="53"/>
        <item x="54"/>
        <item x="60"/>
        <item x="61"/>
        <item x="55"/>
        <item x="56"/>
        <item x="57"/>
        <item x="58"/>
        <item x="67"/>
        <item x="62"/>
        <item x="63"/>
        <item x="64"/>
        <item x="65"/>
        <item x="77"/>
        <item x="66"/>
        <item x="68"/>
        <item x="69"/>
        <item x="70"/>
        <item x="71"/>
        <item x="78"/>
        <item x="72"/>
        <item x="73"/>
        <item x="79"/>
        <item x="74"/>
        <item x="80"/>
        <item x="75"/>
        <item x="76"/>
        <item x="81"/>
        <item x="82"/>
        <item x="86"/>
        <item x="83"/>
        <item x="84"/>
        <item x="85"/>
        <item m="1" x="87"/>
        <item t="default"/>
      </items>
    </pivotField>
    <pivotField showAll="0"/>
    <pivotField showAll="0"/>
    <pivotField axis="axisRow" showAll="0">
      <items count="30">
        <item x="10"/>
        <item x="12"/>
        <item x="7"/>
        <item x="9"/>
        <item x="5"/>
        <item x="0"/>
        <item x="23"/>
        <item x="1"/>
        <item x="2"/>
        <item x="19"/>
        <item x="11"/>
        <item x="24"/>
        <item x="21"/>
        <item x="6"/>
        <item x="16"/>
        <item x="22"/>
        <item x="18"/>
        <item x="4"/>
        <item x="3"/>
        <item x="17"/>
        <item x="14"/>
        <item x="13"/>
        <item x="25"/>
        <item x="20"/>
        <item x="8"/>
        <item x="15"/>
        <item m="1" x="28"/>
        <item x="26"/>
        <item x="2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 t="grand">
      <x/>
    </i>
  </rowItems>
  <colItems count="1">
    <i/>
  </colItems>
  <dataFields count="1">
    <dataField name="Soma de Quantidade" fld="5" baseField="0" baseItem="0" numFmtId="1"/>
  </dataFields>
  <formats count="2">
    <format dxfId="19">
      <pivotArea dataOnly="0" labelOnly="1" outline="0" axis="axisValues" fieldPosition="0"/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Quantidade" xr10:uid="{9B36DC90-2CB8-40A2-9BB6-0081DE5A18E8}" sourceName="Quantidade">
  <pivotTables>
    <pivotTable tabId="8" name="Tabela dinâmica13"/>
  </pivotTables>
  <data>
    <tabular pivotCacheId="1269780996">
      <items count="1"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3D4ABA5A-2CE6-4239-A5B4-9278BF572424}" sourceName="Vendedor">
  <pivotTables>
    <pivotTable tabId="8" name="Tabela dinâmica13"/>
    <pivotTable tabId="8" name="Tabela dinâmica15"/>
    <pivotTable tabId="8" name="Tabela dinâmica16"/>
    <pivotTable tabId="8" name="Tabela dinâmica17"/>
    <pivotTable tabId="8" name="Tabela dinâmica12"/>
  </pivotTables>
  <data>
    <tabular pivotCacheId="1269780996">
      <items count="3">
        <i x="1" s="1"/>
        <i x="0" s="1"/>
        <i x="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3C2CAC75-FECE-46D9-B0BC-EFC272E8173A}" sourceName="Mês">
  <pivotTables>
    <pivotTable tabId="8" name="Tabela dinâmica13"/>
  </pivotTables>
  <data>
    <tabular pivotCacheId="1269780996">
      <items count="7">
        <i x="1" s="1"/>
        <i x="2" s="1"/>
        <i x="3" s="1"/>
        <i x="4" s="1"/>
        <i x="5" s="1"/>
        <i x="0" s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cedimento" xr10:uid="{D4906A5C-B62B-4492-9411-5CC98191C47C}" sourceName="Procedimento">
  <pivotTables>
    <pivotTable tabId="8" name="Tabela dinâmica13"/>
  </pivotTables>
  <data>
    <tabular pivotCacheId="1269780996">
      <items count="29">
        <i x="10" s="1"/>
        <i x="12" s="1"/>
        <i x="7" s="1"/>
        <i x="9" s="1"/>
        <i x="5" s="1"/>
        <i x="0" s="1"/>
        <i x="23" s="1"/>
        <i x="1" s="1"/>
        <i x="2" s="1"/>
        <i x="19" s="1"/>
        <i x="11" s="1"/>
        <i x="27" s="1"/>
        <i x="24" s="1"/>
        <i x="21" s="1"/>
        <i x="6" s="1"/>
        <i x="16" s="1"/>
        <i x="22" s="1"/>
        <i x="18" s="1"/>
        <i x="4" s="1"/>
        <i x="3" s="1"/>
        <i x="17" s="1"/>
        <i x="14" s="1"/>
        <i x="13" s="1"/>
        <i x="26" s="1"/>
        <i x="25" s="1"/>
        <i x="20" s="1"/>
        <i x="8" s="1"/>
        <i x="15" s="1"/>
        <i x="2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dade" xr10:uid="{16051D21-FF89-443D-808F-6CA9B27304C1}" sourceName="Cidade">
  <pivotTables>
    <pivotTable tabId="8" name="Tabela dinâmica13"/>
    <pivotTable tabId="8" name="Tabela dinâmica12"/>
    <pivotTable tabId="8" name="Tabela dinâmica15"/>
    <pivotTable tabId="8" name="Tabela dinâmica16"/>
    <pivotTable tabId="8" name="Tabela dinâmica17"/>
  </pivotTables>
  <data>
    <tabular pivotCacheId="1269780996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ciente" xr10:uid="{F0DED5CA-1D6C-45B1-8881-107B2718401A}" sourceName="Paciente">
  <pivotTables>
    <pivotTable tabId="8" name="Tabela dinâmica13"/>
  </pivotTables>
  <data>
    <tabular pivotCacheId="1269780996">
      <items count="260">
        <i x="133" s="1"/>
        <i x="213" s="1"/>
        <i x="212" s="1"/>
        <i x="72" s="1"/>
        <i x="176" s="1"/>
        <i x="117" s="1"/>
        <i x="178" s="1"/>
        <i x="102" s="1"/>
        <i x="91" s="1"/>
        <i x="244" s="1"/>
        <i x="97" s="1"/>
        <i x="246" s="1"/>
        <i x="104" s="1"/>
        <i x="153" s="1"/>
        <i x="179" s="1"/>
        <i x="121" s="1"/>
        <i x="138" s="1"/>
        <i x="182" s="1"/>
        <i x="94" s="1"/>
        <i x="65" s="1"/>
        <i x="250" s="1"/>
        <i x="74" s="1"/>
        <i x="16" s="1"/>
        <i x="162" s="1"/>
        <i x="116" s="1"/>
        <i x="170" s="1"/>
        <i x="62" s="1"/>
        <i x="255" s="1"/>
        <i x="3" s="1"/>
        <i x="238" s="1"/>
        <i x="55" s="1"/>
        <i x="219" s="1"/>
        <i x="186" s="1"/>
        <i x="161" s="1"/>
        <i x="85" s="1"/>
        <i x="140" s="1"/>
        <i x="59" s="1"/>
        <i x="236" s="1"/>
        <i x="216" s="1"/>
        <i x="134" s="1"/>
        <i x="183" s="1"/>
        <i x="172" s="1"/>
        <i x="150" s="1"/>
        <i x="113" s="1"/>
        <i x="111" s="1"/>
        <i x="53" s="1"/>
        <i x="39" s="1"/>
        <i x="25" s="1"/>
        <i x="19" s="1"/>
        <i x="154" s="1"/>
        <i x="129" s="1"/>
        <i x="95" s="1"/>
        <i x="211" s="1"/>
        <i x="96" s="1"/>
        <i x="45" s="1"/>
        <i x="105" s="1"/>
        <i x="148" s="1"/>
        <i x="251" s="1"/>
        <i x="226" s="1"/>
        <i x="220" s="1"/>
        <i x="200" s="1"/>
        <i x="66" s="1"/>
        <i x="20" s="1"/>
        <i x="225" s="1"/>
        <i x="195" s="1"/>
        <i x="52" s="1"/>
        <i x="18" s="1"/>
        <i x="56" s="1"/>
        <i x="232" s="1"/>
        <i x="223" s="1"/>
        <i x="159" s="1"/>
        <i x="29" s="1"/>
        <i x="98" s="1"/>
        <i x="130" s="1"/>
        <i x="12" s="1"/>
        <i x="206" s="1"/>
        <i x="67" s="1"/>
        <i x="9" s="1"/>
        <i x="64" s="1"/>
        <i x="194" s="1"/>
        <i x="13" s="1"/>
        <i x="158" s="1"/>
        <i x="221" s="1"/>
        <i x="33" s="1"/>
        <i x="193" s="1"/>
        <i x="173" s="1"/>
        <i x="239" s="1"/>
        <i x="93" s="1"/>
        <i x="230" s="1"/>
        <i x="163" s="1"/>
        <i x="4" s="1"/>
        <i x="84" s="1"/>
        <i x="120" s="1"/>
        <i x="233" s="1"/>
        <i x="165" s="1"/>
        <i x="149" s="1"/>
        <i x="253" s="1"/>
        <i x="160" s="1"/>
        <i x="131" s="1"/>
        <i x="235" s="1"/>
        <i x="256" s="1"/>
        <i x="189" s="1"/>
        <i x="247" s="1"/>
        <i x="215" s="1"/>
        <i x="204" s="1"/>
        <i x="47" s="1"/>
        <i x="89" s="1"/>
        <i x="2" s="1"/>
        <i x="26" s="1"/>
        <i x="71" s="1"/>
        <i x="99" s="1"/>
        <i x="0" s="1"/>
        <i x="192" s="1"/>
        <i x="23" s="1"/>
        <i x="222" s="1"/>
        <i x="122" s="1"/>
        <i x="79" s="1"/>
        <i x="101" s="1"/>
        <i x="248" s="1"/>
        <i x="241" s="1"/>
        <i x="257" s="1"/>
        <i x="34" s="1"/>
        <i x="184" s="1"/>
        <i x="169" s="1"/>
        <i x="31" s="1"/>
        <i x="37" s="1"/>
        <i x="54" s="1"/>
        <i x="69" s="1"/>
        <i x="10" s="1"/>
        <i x="57" s="1"/>
        <i x="190" s="1"/>
        <i x="228" s="1"/>
        <i x="77" s="1"/>
        <i x="81" s="1"/>
        <i x="112" s="1"/>
        <i x="177" s="1"/>
        <i x="237" s="1"/>
        <i x="50" s="1"/>
        <i x="145" s="1"/>
        <i x="224" s="1"/>
        <i x="75" s="1"/>
        <i x="114" s="1"/>
        <i x="152" s="1"/>
        <i x="92" s="1"/>
        <i x="100" s="1"/>
        <i x="218" s="1"/>
        <i x="254" s="1"/>
        <i x="156" s="1"/>
        <i x="168" s="1"/>
        <i x="124" s="1"/>
        <i x="139" s="1"/>
        <i x="151" s="1"/>
        <i x="6" s="1"/>
        <i x="209" s="1"/>
        <i x="234" s="1"/>
        <i x="108" s="1"/>
        <i x="82" s="1"/>
        <i x="87" s="1"/>
        <i x="128" s="1"/>
        <i x="107" s="1"/>
        <i x="187" s="1"/>
        <i x="231" s="1"/>
        <i x="196" s="1"/>
        <i x="136" s="1"/>
        <i x="40" s="1"/>
        <i x="146" s="1"/>
        <i x="191" s="1"/>
        <i x="46" s="1"/>
        <i x="8" s="1"/>
        <i x="1" s="1"/>
        <i x="70" s="1"/>
        <i x="14" s="1"/>
        <i x="63" s="1"/>
        <i x="41" s="1"/>
        <i x="217" s="1"/>
        <i x="28" s="1"/>
        <i x="15" s="1"/>
        <i x="73" s="1"/>
        <i x="27" s="1"/>
        <i x="11" s="1"/>
        <i x="21" s="1"/>
        <i x="32" s="1"/>
        <i x="5" s="1"/>
        <i x="144" s="1"/>
        <i x="115" s="1"/>
        <i x="126" s="1"/>
        <i x="249" s="1"/>
        <i x="119" s="1"/>
        <i x="198" s="1"/>
        <i x="49" s="1"/>
        <i x="203" s="1"/>
        <i x="181" s="1"/>
        <i x="155" s="1"/>
        <i x="135" s="1"/>
        <i x="106" s="1"/>
        <i x="205" s="1"/>
        <i x="83" s="1"/>
        <i x="43" s="1"/>
        <i x="202" s="1"/>
        <i x="207" s="1"/>
        <i x="35" s="1"/>
        <i x="68" s="1"/>
        <i x="61" s="1"/>
        <i x="141" s="1"/>
        <i x="44" s="1"/>
        <i x="208" s="1"/>
        <i x="103" s="1"/>
        <i x="17" s="1"/>
        <i x="127" s="1"/>
        <i x="185" s="1"/>
        <i x="229" s="1"/>
        <i x="174" s="1"/>
        <i x="252" s="1"/>
        <i x="210" s="1"/>
        <i x="88" s="1"/>
        <i x="245" s="1"/>
        <i x="7" s="1"/>
        <i x="78" s="1"/>
        <i x="36" s="1"/>
        <i x="188" s="1"/>
        <i x="137" s="1"/>
        <i x="51" s="1"/>
        <i x="227" s="1"/>
        <i x="86" s="1"/>
        <i x="142" s="1"/>
        <i x="240" s="1"/>
        <i x="118" s="1"/>
        <i x="125" s="1"/>
        <i x="143" s="1"/>
        <i x="166" s="1"/>
        <i x="48" s="1"/>
        <i x="242" s="1"/>
        <i x="80" s="1"/>
        <i x="123" s="1"/>
        <i x="243" s="1"/>
        <i x="58" s="1"/>
        <i x="38" s="1"/>
        <i x="90" s="1"/>
        <i x="109" s="1"/>
        <i x="76" s="1"/>
        <i x="214" s="1"/>
        <i x="157" s="1"/>
        <i x="110" s="1"/>
        <i x="258" s="1"/>
        <i x="201" s="1"/>
        <i x="199" s="1"/>
        <i x="24" s="1"/>
        <i x="132" s="1"/>
        <i x="164" s="1"/>
        <i x="180" s="1"/>
        <i x="147" s="1"/>
        <i x="30" s="1"/>
        <i x="175" s="1"/>
        <i x="42" s="1"/>
        <i x="197" s="1"/>
        <i x="60" s="1"/>
        <i x="171" s="1"/>
        <i x="167" s="1"/>
        <i x="22" s="1"/>
        <i x="259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" xr10:uid="{5A4F9A86-4879-45C7-86AC-608C4E7E8721}" sourceName="Anos (Data)">
  <pivotTables>
    <pivotTable tabId="8" name="Tabela dinâmica12"/>
    <pivotTable tabId="8" name="Tabela dinâmica15"/>
    <pivotTable tabId="8" name="Tabela dinâmica16"/>
    <pivotTable tabId="8" name="Tabela dinâmica17"/>
    <pivotTable tabId="8" name="Tabela dinâmica13"/>
  </pivotTables>
  <data>
    <tabular pivotCacheId="1269780996">
      <items count="4">
        <i x="1" s="1"/>
        <i x="2" s="1"/>
        <i x="0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370423B4-A8D0-4035-9154-C8855BB95609}" cache="SegmentaçãodeDados_Vendedor" caption="Vendedor" style="SlicerStyleLight1 2 2" rowHeight="241300"/>
  <slicer name="Mês" xr10:uid="{F9D0F919-33A8-49A4-8FD4-4F03EBB21128}" cache="SegmentaçãodeDados_Mês" caption="Mês" columnCount="3" style="SlicerStyleLight1 2 2" rowHeight="241300"/>
  <slicer name="Procedimento" xr10:uid="{632A15C1-B747-4500-BC14-EEBEE632B54A}" cache="SegmentaçãodeDados_Procedimento" caption="Procedimento" style="SlicerStyleLight1 2 2" rowHeight="241300"/>
  <slicer name="Cidade" xr10:uid="{0B0CA966-F1A0-4EB1-B82E-297ACEE011EB}" cache="SegmentaçãodeDados_Cidade" caption="Cidade" style="SlicerStyleLight1 2 2" rowHeight="241300"/>
  <slicer name="Anos (Data)" xr10:uid="{0BC35D48-A67F-47B3-B48F-4D7FA39BD2AB}" cache="SegmentaçãodeDados_Anos__Data" caption="Ano" style="SlicerStyleLight1 2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Quantidade" xr10:uid="{47CB7564-25BB-4DE0-AF4F-1D81F020E54C}" cache="SegmentaçãodeDados_Quantidade" caption="Quantidade" rowHeight="241300"/>
  <slicer name="Paciente" xr10:uid="{13D6D397-CECA-49D0-B7D9-78428FDBB1BD}" cache="SegmentaçãodeDados_Paciente" caption="Pacient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1195F-2C0B-4560-B3C8-2E5BDFE0E945}" name="Tabela1" displayName="Tabela1" ref="A1:L416" totalsRowShown="0">
  <autoFilter ref="A1:L416" xr:uid="{D231195F-2C0B-4560-B3C8-2E5BDFE0E945}"/>
  <tableColumns count="12">
    <tableColumn id="1" xr3:uid="{076064CE-FF82-48BB-9D27-FB8D854FDBB2}" name="Sequencia"/>
    <tableColumn id="2" xr3:uid="{11CA985F-07E1-4594-86BD-E3CC809227EB}" name="Data" dataDxfId="5"/>
    <tableColumn id="3" xr3:uid="{AA72AA0B-981C-405A-B065-D370AF8A3617}" name="Cidade"/>
    <tableColumn id="11" xr3:uid="{E4BE3ED6-218C-4C6B-A29E-6861C9C025DD}" name="Paciente"/>
    <tableColumn id="4" xr3:uid="{6A7E64ED-D405-473C-9044-CC24946E5B6C}" name="Procedimento"/>
    <tableColumn id="5" xr3:uid="{AADB169F-FC09-4EA9-8497-FAF813B9A04E}" name="Quantidade"/>
    <tableColumn id="6" xr3:uid="{41091421-9102-4480-B55A-4352E2C44ABB}" name="Valor" dataDxfId="4" dataCellStyle="Moeda"/>
    <tableColumn id="7" xr3:uid="{F6666435-DEBC-4D8A-ABDA-5F8320CFC7E7}" name="Taxa Cartão" dataDxfId="3" dataCellStyle="Moeda"/>
    <tableColumn id="8" xr3:uid="{9AD28B39-5407-4C97-88C7-9CDC12A8FEDD}" name="Vendedor"/>
    <tableColumn id="9" xr3:uid="{14E95B3B-3582-4C09-B2BB-AF8E20E8FAAF}" name="% Comissão" dataDxfId="2" dataCellStyle="Porcentagem"/>
    <tableColumn id="10" xr3:uid="{F9DE9A75-C842-492A-814F-954FC2756057}" name="Valor Comissão" dataDxfId="1">
      <calculatedColumnFormula>G2*J2</calculatedColumnFormula>
    </tableColumn>
    <tableColumn id="12" xr3:uid="{9DC13472-5C95-456D-991D-DED579B6F0A5}" name="Mês" dataDxfId="0">
      <calculatedColumnFormula>PROPER(TEXT(B2,"mmmm"))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39AE-A534-4365-8D77-96E2561C94C5}">
  <dimension ref="A1"/>
  <sheetViews>
    <sheetView showGridLines="0" showRowColHeaders="0" tabSelected="1" topLeftCell="C1" zoomScale="99" zoomScaleNormal="100" workbookViewId="0">
      <selection activeCell="AD18" sqref="AD18"/>
    </sheetView>
  </sheetViews>
  <sheetFormatPr defaultRowHeight="15" x14ac:dyDescent="0.25"/>
  <cols>
    <col min="1" max="16384" width="9.140625" style="8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62C5-2379-45FB-BC5E-7D15BD629DD4}">
  <dimension ref="A3:I49"/>
  <sheetViews>
    <sheetView workbookViewId="0">
      <selection activeCell="F24" sqref="F24"/>
    </sheetView>
  </sheetViews>
  <sheetFormatPr defaultRowHeight="15" x14ac:dyDescent="0.25"/>
  <cols>
    <col min="1" max="1" width="22.5703125" bestFit="1" customWidth="1"/>
    <col min="2" max="2" width="15.28515625" bestFit="1" customWidth="1"/>
    <col min="5" max="5" width="18" bestFit="1" customWidth="1"/>
    <col min="6" max="6" width="20.85546875" bestFit="1" customWidth="1"/>
    <col min="8" max="8" width="18" bestFit="1" customWidth="1"/>
    <col min="9" max="9" width="15.28515625" bestFit="1" customWidth="1"/>
  </cols>
  <sheetData>
    <row r="3" spans="1:6" x14ac:dyDescent="0.25">
      <c r="A3" s="5" t="s">
        <v>34</v>
      </c>
      <c r="B3" s="4" t="s">
        <v>33</v>
      </c>
      <c r="E3" s="4" t="s">
        <v>33</v>
      </c>
    </row>
    <row r="4" spans="1:6" x14ac:dyDescent="0.25">
      <c r="A4" s="6" t="s">
        <v>226</v>
      </c>
      <c r="B4" s="4">
        <v>66850</v>
      </c>
      <c r="E4" s="4">
        <v>648166</v>
      </c>
    </row>
    <row r="5" spans="1:6" x14ac:dyDescent="0.25">
      <c r="A5" s="6" t="s">
        <v>227</v>
      </c>
      <c r="B5" s="4">
        <v>184800</v>
      </c>
    </row>
    <row r="6" spans="1:6" x14ac:dyDescent="0.25">
      <c r="A6" s="6" t="s">
        <v>228</v>
      </c>
      <c r="B6" s="4">
        <v>149540</v>
      </c>
      <c r="E6" s="4" t="s">
        <v>36</v>
      </c>
    </row>
    <row r="7" spans="1:6" x14ac:dyDescent="0.25">
      <c r="A7" s="6" t="s">
        <v>318</v>
      </c>
      <c r="B7" s="4">
        <v>85270</v>
      </c>
      <c r="E7" s="4">
        <v>19444.979999999996</v>
      </c>
    </row>
    <row r="8" spans="1:6" x14ac:dyDescent="0.25">
      <c r="A8" s="6" t="s">
        <v>319</v>
      </c>
      <c r="B8" s="4">
        <v>124655</v>
      </c>
    </row>
    <row r="9" spans="1:6" x14ac:dyDescent="0.25">
      <c r="A9" s="6" t="s">
        <v>320</v>
      </c>
      <c r="B9" s="4">
        <v>37051</v>
      </c>
      <c r="E9" s="5" t="s">
        <v>34</v>
      </c>
      <c r="F9" s="4" t="s">
        <v>229</v>
      </c>
    </row>
    <row r="10" spans="1:6" x14ac:dyDescent="0.25">
      <c r="A10" s="6" t="s">
        <v>35</v>
      </c>
      <c r="B10" s="4">
        <v>648166</v>
      </c>
      <c r="E10" s="6" t="s">
        <v>226</v>
      </c>
      <c r="F10" s="4"/>
    </row>
    <row r="11" spans="1:6" x14ac:dyDescent="0.25">
      <c r="E11" s="6" t="s">
        <v>227</v>
      </c>
      <c r="F11" s="4">
        <v>14818.637433691752</v>
      </c>
    </row>
    <row r="12" spans="1:6" x14ac:dyDescent="0.25">
      <c r="E12" s="6" t="s">
        <v>228</v>
      </c>
      <c r="F12" s="4">
        <v>10172.320000000002</v>
      </c>
    </row>
    <row r="13" spans="1:6" x14ac:dyDescent="0.25">
      <c r="E13" s="6" t="s">
        <v>318</v>
      </c>
      <c r="F13" s="4">
        <v>3014.9</v>
      </c>
    </row>
    <row r="14" spans="1:6" x14ac:dyDescent="0.25">
      <c r="E14" s="6" t="s">
        <v>319</v>
      </c>
      <c r="F14" s="4">
        <v>4987.7199999999993</v>
      </c>
    </row>
    <row r="15" spans="1:6" x14ac:dyDescent="0.25">
      <c r="E15" s="6" t="s">
        <v>320</v>
      </c>
      <c r="F15" s="4"/>
    </row>
    <row r="16" spans="1:6" x14ac:dyDescent="0.25">
      <c r="E16" s="6" t="s">
        <v>35</v>
      </c>
      <c r="F16" s="4">
        <v>32993.577433691753</v>
      </c>
    </row>
    <row r="19" spans="1:9" x14ac:dyDescent="0.25">
      <c r="A19" s="5" t="s">
        <v>34</v>
      </c>
      <c r="B19" s="4" t="s">
        <v>33</v>
      </c>
    </row>
    <row r="20" spans="1:9" x14ac:dyDescent="0.25">
      <c r="A20" s="6" t="s">
        <v>13</v>
      </c>
      <c r="B20" s="4">
        <v>232200</v>
      </c>
      <c r="E20" s="5" t="s">
        <v>34</v>
      </c>
      <c r="F20" s="4" t="s">
        <v>37</v>
      </c>
    </row>
    <row r="21" spans="1:9" x14ac:dyDescent="0.25">
      <c r="A21" s="6" t="s">
        <v>12</v>
      </c>
      <c r="B21" s="4">
        <v>73410</v>
      </c>
      <c r="E21" s="6" t="s">
        <v>24</v>
      </c>
      <c r="F21" s="7">
        <v>3</v>
      </c>
    </row>
    <row r="22" spans="1:9" x14ac:dyDescent="0.25">
      <c r="A22" s="6" t="s">
        <v>11</v>
      </c>
      <c r="B22" s="4">
        <v>56510</v>
      </c>
      <c r="E22" s="6" t="s">
        <v>23</v>
      </c>
      <c r="F22" s="7">
        <v>10</v>
      </c>
    </row>
    <row r="23" spans="1:9" x14ac:dyDescent="0.25">
      <c r="A23" s="6" t="s">
        <v>42</v>
      </c>
      <c r="B23" s="4">
        <v>38201</v>
      </c>
      <c r="E23" s="6" t="s">
        <v>15</v>
      </c>
      <c r="F23" s="7">
        <v>21</v>
      </c>
      <c r="H23" s="5" t="s">
        <v>34</v>
      </c>
      <c r="I23" s="4" t="s">
        <v>33</v>
      </c>
    </row>
    <row r="24" spans="1:9" x14ac:dyDescent="0.25">
      <c r="A24" s="6" t="s">
        <v>15</v>
      </c>
      <c r="B24" s="4">
        <v>25940</v>
      </c>
      <c r="E24" s="6" t="s">
        <v>12</v>
      </c>
      <c r="F24" s="7">
        <v>15</v>
      </c>
      <c r="H24" s="6" t="s">
        <v>321</v>
      </c>
      <c r="I24" s="4">
        <v>66850</v>
      </c>
    </row>
    <row r="25" spans="1:9" x14ac:dyDescent="0.25">
      <c r="A25" s="6" t="s">
        <v>26</v>
      </c>
      <c r="B25" s="4">
        <v>24800</v>
      </c>
      <c r="E25" s="6" t="s">
        <v>31</v>
      </c>
      <c r="F25" s="7">
        <v>16</v>
      </c>
      <c r="H25" s="6" t="s">
        <v>322</v>
      </c>
      <c r="I25" s="4">
        <v>581316</v>
      </c>
    </row>
    <row r="26" spans="1:9" x14ac:dyDescent="0.25">
      <c r="A26" s="6" t="s">
        <v>296</v>
      </c>
      <c r="B26" s="4">
        <v>23300</v>
      </c>
      <c r="E26" s="6" t="s">
        <v>13</v>
      </c>
      <c r="F26" s="7">
        <v>126</v>
      </c>
      <c r="H26" s="6" t="s">
        <v>35</v>
      </c>
      <c r="I26" s="4">
        <v>648166</v>
      </c>
    </row>
    <row r="27" spans="1:9" x14ac:dyDescent="0.25">
      <c r="A27" s="6" t="s">
        <v>31</v>
      </c>
      <c r="B27" s="4">
        <v>20900</v>
      </c>
      <c r="E27" s="6" t="s">
        <v>40</v>
      </c>
      <c r="F27" s="7">
        <v>10</v>
      </c>
    </row>
    <row r="28" spans="1:9" x14ac:dyDescent="0.25">
      <c r="A28" s="6" t="s">
        <v>40</v>
      </c>
      <c r="B28" s="4">
        <v>20700</v>
      </c>
      <c r="E28" s="6" t="s">
        <v>152</v>
      </c>
      <c r="F28" s="7">
        <v>1</v>
      </c>
    </row>
    <row r="29" spans="1:9" x14ac:dyDescent="0.25">
      <c r="A29" s="6" t="s">
        <v>18</v>
      </c>
      <c r="B29" s="4">
        <v>17800</v>
      </c>
      <c r="E29" s="6" t="s">
        <v>11</v>
      </c>
      <c r="F29" s="7">
        <v>93</v>
      </c>
    </row>
    <row r="30" spans="1:9" x14ac:dyDescent="0.25">
      <c r="A30" s="6" t="s">
        <v>154</v>
      </c>
      <c r="B30" s="4">
        <v>15150</v>
      </c>
      <c r="E30" s="6" t="s">
        <v>27</v>
      </c>
      <c r="F30" s="7">
        <v>1</v>
      </c>
    </row>
    <row r="31" spans="1:9" x14ac:dyDescent="0.25">
      <c r="A31" s="6" t="s">
        <v>16</v>
      </c>
      <c r="B31" s="4">
        <v>13180</v>
      </c>
      <c r="E31" s="6" t="s">
        <v>155</v>
      </c>
      <c r="F31" s="7">
        <v>1</v>
      </c>
    </row>
    <row r="32" spans="1:9" x14ac:dyDescent="0.25">
      <c r="A32" s="6" t="s">
        <v>28</v>
      </c>
      <c r="B32" s="4">
        <v>12800</v>
      </c>
      <c r="E32" s="6" t="s">
        <v>41</v>
      </c>
      <c r="F32" s="7">
        <v>1</v>
      </c>
    </row>
    <row r="33" spans="1:6" x14ac:dyDescent="0.25">
      <c r="A33" s="6" t="s">
        <v>17</v>
      </c>
      <c r="B33" s="4">
        <v>12650</v>
      </c>
      <c r="E33" s="6" t="s">
        <v>30</v>
      </c>
      <c r="F33" s="7">
        <v>1</v>
      </c>
    </row>
    <row r="34" spans="1:6" x14ac:dyDescent="0.25">
      <c r="A34" s="6" t="s">
        <v>14</v>
      </c>
      <c r="B34" s="4">
        <v>11650</v>
      </c>
      <c r="E34" s="6" t="s">
        <v>16</v>
      </c>
      <c r="F34" s="7">
        <v>42</v>
      </c>
    </row>
    <row r="35" spans="1:6" x14ac:dyDescent="0.25">
      <c r="A35" s="6" t="s">
        <v>39</v>
      </c>
      <c r="B35" s="4">
        <v>10000</v>
      </c>
      <c r="E35" s="6" t="s">
        <v>18</v>
      </c>
      <c r="F35" s="7">
        <v>4</v>
      </c>
    </row>
    <row r="36" spans="1:6" x14ac:dyDescent="0.25">
      <c r="A36" s="6" t="s">
        <v>20</v>
      </c>
      <c r="B36" s="4">
        <v>6125</v>
      </c>
      <c r="E36" s="6" t="s">
        <v>39</v>
      </c>
      <c r="F36" s="7">
        <v>1</v>
      </c>
    </row>
    <row r="37" spans="1:6" x14ac:dyDescent="0.25">
      <c r="A37" s="6" t="s">
        <v>153</v>
      </c>
      <c r="B37" s="4">
        <v>6000</v>
      </c>
      <c r="E37" s="6" t="s">
        <v>26</v>
      </c>
      <c r="F37" s="7">
        <v>14</v>
      </c>
    </row>
    <row r="38" spans="1:6" x14ac:dyDescent="0.25">
      <c r="A38" s="6" t="s">
        <v>23</v>
      </c>
      <c r="B38" s="4">
        <v>5920</v>
      </c>
      <c r="E38" s="6" t="s">
        <v>153</v>
      </c>
      <c r="F38" s="7">
        <v>3</v>
      </c>
    </row>
    <row r="39" spans="1:6" x14ac:dyDescent="0.25">
      <c r="A39" s="6" t="s">
        <v>30</v>
      </c>
      <c r="B39" s="4">
        <v>4000</v>
      </c>
      <c r="E39" s="6" t="s">
        <v>17</v>
      </c>
      <c r="F39" s="7">
        <v>2</v>
      </c>
    </row>
    <row r="40" spans="1:6" x14ac:dyDescent="0.25">
      <c r="A40" s="6" t="s">
        <v>155</v>
      </c>
      <c r="B40" s="4">
        <v>3600</v>
      </c>
      <c r="E40" s="6" t="s">
        <v>22</v>
      </c>
      <c r="F40" s="7">
        <v>1</v>
      </c>
    </row>
    <row r="41" spans="1:6" x14ac:dyDescent="0.25">
      <c r="A41" s="6" t="s">
        <v>159</v>
      </c>
      <c r="B41" s="4">
        <v>3000</v>
      </c>
      <c r="E41" s="6" t="s">
        <v>14</v>
      </c>
      <c r="F41" s="7">
        <v>6</v>
      </c>
    </row>
    <row r="42" spans="1:6" x14ac:dyDescent="0.25">
      <c r="A42" s="6" t="s">
        <v>152</v>
      </c>
      <c r="B42" s="4">
        <v>3000</v>
      </c>
      <c r="E42" s="6" t="s">
        <v>159</v>
      </c>
      <c r="F42" s="7">
        <v>1</v>
      </c>
    </row>
    <row r="43" spans="1:6" x14ac:dyDescent="0.25">
      <c r="A43" s="6" t="s">
        <v>251</v>
      </c>
      <c r="B43" s="4">
        <v>2380</v>
      </c>
      <c r="E43" s="6" t="s">
        <v>42</v>
      </c>
      <c r="F43" s="7">
        <v>7</v>
      </c>
    </row>
    <row r="44" spans="1:6" x14ac:dyDescent="0.25">
      <c r="A44" s="6" t="s">
        <v>41</v>
      </c>
      <c r="B44" s="4">
        <v>1500</v>
      </c>
      <c r="E44" s="6" t="s">
        <v>28</v>
      </c>
      <c r="F44" s="7">
        <v>3</v>
      </c>
    </row>
    <row r="45" spans="1:6" x14ac:dyDescent="0.25">
      <c r="A45" s="6" t="s">
        <v>27</v>
      </c>
      <c r="B45" s="4">
        <v>1500</v>
      </c>
      <c r="E45" s="6" t="s">
        <v>154</v>
      </c>
      <c r="F45" s="7">
        <v>2</v>
      </c>
    </row>
    <row r="46" spans="1:6" x14ac:dyDescent="0.25">
      <c r="A46" s="6" t="s">
        <v>24</v>
      </c>
      <c r="B46" s="4">
        <v>1450</v>
      </c>
      <c r="E46" s="6" t="s">
        <v>20</v>
      </c>
      <c r="F46" s="7">
        <v>18</v>
      </c>
    </row>
    <row r="47" spans="1:6" x14ac:dyDescent="0.25">
      <c r="A47" s="6" t="s">
        <v>22</v>
      </c>
      <c r="B47" s="4">
        <v>500</v>
      </c>
      <c r="E47" s="6" t="s">
        <v>251</v>
      </c>
      <c r="F47" s="7">
        <v>3</v>
      </c>
    </row>
    <row r="48" spans="1:6" x14ac:dyDescent="0.25">
      <c r="A48" s="6" t="s">
        <v>35</v>
      </c>
      <c r="B48" s="4">
        <v>648166</v>
      </c>
      <c r="E48" s="6" t="s">
        <v>296</v>
      </c>
      <c r="F48" s="7">
        <v>9</v>
      </c>
    </row>
    <row r="49" spans="5:6" x14ac:dyDescent="0.25">
      <c r="E49" s="6" t="s">
        <v>35</v>
      </c>
      <c r="F49" s="7">
        <v>415</v>
      </c>
    </row>
  </sheetData>
  <pageMargins left="0.511811024" right="0.511811024" top="0.78740157499999996" bottom="0.78740157499999996" header="0.31496062000000002" footer="0.31496062000000002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2BCD-71A5-4334-8451-ED671B533A5B}">
  <dimension ref="A1:L416"/>
  <sheetViews>
    <sheetView topLeftCell="A382" workbookViewId="0">
      <selection activeCell="I416" sqref="I416"/>
    </sheetView>
  </sheetViews>
  <sheetFormatPr defaultRowHeight="15" x14ac:dyDescent="0.25"/>
  <cols>
    <col min="1" max="1" width="12.28515625" customWidth="1"/>
    <col min="2" max="2" width="10.7109375" bestFit="1" customWidth="1"/>
    <col min="3" max="3" width="13.140625" bestFit="1" customWidth="1"/>
    <col min="4" max="4" width="32.28515625" bestFit="1" customWidth="1"/>
    <col min="5" max="5" width="22.5703125" bestFit="1" customWidth="1"/>
    <col min="6" max="6" width="13.5703125" customWidth="1"/>
    <col min="7" max="7" width="20.28515625" customWidth="1"/>
    <col min="8" max="8" width="13.28515625" customWidth="1"/>
    <col min="9" max="9" width="12" customWidth="1"/>
    <col min="10" max="10" width="13.5703125" style="3" customWidth="1"/>
    <col min="11" max="11" width="16.7109375" customWidth="1"/>
    <col min="12" max="12" width="10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43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225</v>
      </c>
    </row>
    <row r="2" spans="1:12" x14ac:dyDescent="0.25">
      <c r="A2">
        <v>1</v>
      </c>
      <c r="B2" s="1">
        <v>45628</v>
      </c>
      <c r="C2" t="s">
        <v>38</v>
      </c>
      <c r="D2" t="s">
        <v>156</v>
      </c>
      <c r="E2" t="s">
        <v>13</v>
      </c>
      <c r="F2">
        <v>1</v>
      </c>
      <c r="G2" s="2">
        <v>500</v>
      </c>
      <c r="H2" s="2"/>
      <c r="I2" t="s">
        <v>32</v>
      </c>
      <c r="J2" s="3">
        <v>0.03</v>
      </c>
      <c r="K2" s="4">
        <f>G2*J2</f>
        <v>15</v>
      </c>
      <c r="L2" t="str">
        <f t="shared" ref="L2:L65" si="0">PROPER(TEXT(B2,"mmmm"))</f>
        <v>Dezembro</v>
      </c>
    </row>
    <row r="3" spans="1:12" x14ac:dyDescent="0.25">
      <c r="A3">
        <v>2</v>
      </c>
      <c r="B3" s="1">
        <v>45629</v>
      </c>
      <c r="C3" t="s">
        <v>10</v>
      </c>
      <c r="D3" t="s">
        <v>115</v>
      </c>
      <c r="E3" t="s">
        <v>152</v>
      </c>
      <c r="F3">
        <v>1</v>
      </c>
      <c r="G3" s="2">
        <v>3000</v>
      </c>
      <c r="H3" s="2"/>
      <c r="I3" t="s">
        <v>32</v>
      </c>
      <c r="J3" s="3">
        <v>0.03</v>
      </c>
      <c r="K3" s="4">
        <f t="shared" ref="K3:K45" si="1">G3*J3</f>
        <v>90</v>
      </c>
      <c r="L3" t="str">
        <f t="shared" si="0"/>
        <v>Dezembro</v>
      </c>
    </row>
    <row r="4" spans="1:12" x14ac:dyDescent="0.25">
      <c r="A4">
        <v>3</v>
      </c>
      <c r="B4" s="1">
        <v>45629</v>
      </c>
      <c r="C4" t="s">
        <v>10</v>
      </c>
      <c r="D4" t="s">
        <v>116</v>
      </c>
      <c r="E4" t="s">
        <v>11</v>
      </c>
      <c r="F4">
        <v>1</v>
      </c>
      <c r="G4" s="2">
        <v>550</v>
      </c>
      <c r="H4" s="2"/>
      <c r="I4" t="s">
        <v>32</v>
      </c>
      <c r="J4" s="3">
        <v>0.03</v>
      </c>
      <c r="K4" s="4">
        <f t="shared" si="1"/>
        <v>16.5</v>
      </c>
      <c r="L4" t="str">
        <f t="shared" si="0"/>
        <v>Dezembro</v>
      </c>
    </row>
    <row r="5" spans="1:12" x14ac:dyDescent="0.25">
      <c r="A5">
        <v>4</v>
      </c>
      <c r="B5" s="1">
        <v>45629</v>
      </c>
      <c r="C5" t="s">
        <v>10</v>
      </c>
      <c r="D5" t="s">
        <v>117</v>
      </c>
      <c r="E5" t="s">
        <v>11</v>
      </c>
      <c r="F5">
        <v>1</v>
      </c>
      <c r="G5" s="2">
        <v>500</v>
      </c>
      <c r="H5" s="2"/>
      <c r="I5" t="s">
        <v>32</v>
      </c>
      <c r="J5" s="3">
        <v>0.03</v>
      </c>
      <c r="K5" s="4">
        <f t="shared" si="1"/>
        <v>15</v>
      </c>
      <c r="L5" t="str">
        <f t="shared" si="0"/>
        <v>Dezembro</v>
      </c>
    </row>
    <row r="6" spans="1:12" x14ac:dyDescent="0.25">
      <c r="A6">
        <v>5</v>
      </c>
      <c r="B6" s="1">
        <v>45629</v>
      </c>
      <c r="C6" t="s">
        <v>10</v>
      </c>
      <c r="D6" t="s">
        <v>118</v>
      </c>
      <c r="E6" t="s">
        <v>13</v>
      </c>
      <c r="F6">
        <v>1</v>
      </c>
      <c r="G6" s="2">
        <v>1000</v>
      </c>
      <c r="H6" s="2"/>
      <c r="I6" t="s">
        <v>32</v>
      </c>
      <c r="J6" s="3">
        <v>0.03</v>
      </c>
      <c r="K6" s="4">
        <f t="shared" si="1"/>
        <v>30</v>
      </c>
      <c r="L6" t="str">
        <f t="shared" si="0"/>
        <v>Dezembro</v>
      </c>
    </row>
    <row r="7" spans="1:12" x14ac:dyDescent="0.25">
      <c r="A7">
        <v>6</v>
      </c>
      <c r="B7" s="1">
        <v>45631</v>
      </c>
      <c r="C7" t="s">
        <v>10</v>
      </c>
      <c r="D7" t="s">
        <v>119</v>
      </c>
      <c r="E7" t="s">
        <v>11</v>
      </c>
      <c r="F7">
        <v>1</v>
      </c>
      <c r="G7" s="2">
        <v>1000</v>
      </c>
      <c r="H7" s="2"/>
      <c r="I7" t="s">
        <v>32</v>
      </c>
      <c r="J7" s="3">
        <v>0.03</v>
      </c>
      <c r="K7" s="4">
        <f t="shared" si="1"/>
        <v>30</v>
      </c>
      <c r="L7" t="str">
        <f t="shared" si="0"/>
        <v>Dezembro</v>
      </c>
    </row>
    <row r="8" spans="1:12" x14ac:dyDescent="0.25">
      <c r="A8">
        <v>7</v>
      </c>
      <c r="B8" s="1">
        <v>45631</v>
      </c>
      <c r="C8" t="s">
        <v>10</v>
      </c>
      <c r="D8" t="s">
        <v>120</v>
      </c>
      <c r="E8" t="s">
        <v>17</v>
      </c>
      <c r="F8">
        <v>1</v>
      </c>
      <c r="G8" s="2">
        <v>1650</v>
      </c>
      <c r="H8" s="2"/>
      <c r="I8" t="s">
        <v>32</v>
      </c>
      <c r="J8" s="3">
        <v>0.03</v>
      </c>
      <c r="K8" s="4">
        <f t="shared" si="1"/>
        <v>49.5</v>
      </c>
      <c r="L8" t="str">
        <f t="shared" si="0"/>
        <v>Dezembro</v>
      </c>
    </row>
    <row r="9" spans="1:12" x14ac:dyDescent="0.25">
      <c r="A9">
        <v>8</v>
      </c>
      <c r="B9" s="1">
        <v>45631</v>
      </c>
      <c r="C9" t="s">
        <v>10</v>
      </c>
      <c r="D9" t="s">
        <v>121</v>
      </c>
      <c r="E9" t="s">
        <v>11</v>
      </c>
      <c r="F9">
        <v>1</v>
      </c>
      <c r="G9" s="2">
        <v>550</v>
      </c>
      <c r="H9" s="2"/>
      <c r="I9" t="s">
        <v>32</v>
      </c>
      <c r="J9" s="3">
        <v>0.03</v>
      </c>
      <c r="K9" s="4">
        <f t="shared" si="1"/>
        <v>16.5</v>
      </c>
      <c r="L9" t="str">
        <f t="shared" si="0"/>
        <v>Dezembro</v>
      </c>
    </row>
    <row r="10" spans="1:12" x14ac:dyDescent="0.25">
      <c r="A10">
        <v>9</v>
      </c>
      <c r="B10" s="1">
        <v>45631</v>
      </c>
      <c r="C10" t="s">
        <v>10</v>
      </c>
      <c r="D10" t="s">
        <v>122</v>
      </c>
      <c r="E10" t="s">
        <v>13</v>
      </c>
      <c r="F10">
        <v>1</v>
      </c>
      <c r="G10" s="2">
        <v>1000</v>
      </c>
      <c r="H10" s="2"/>
      <c r="I10" t="s">
        <v>32</v>
      </c>
      <c r="J10" s="3">
        <v>0.03</v>
      </c>
      <c r="K10" s="4">
        <f t="shared" si="1"/>
        <v>30</v>
      </c>
      <c r="L10" t="str">
        <f t="shared" si="0"/>
        <v>Dezembro</v>
      </c>
    </row>
    <row r="11" spans="1:12" x14ac:dyDescent="0.25">
      <c r="A11">
        <v>10</v>
      </c>
      <c r="B11" s="1">
        <v>45631</v>
      </c>
      <c r="C11" t="s">
        <v>10</v>
      </c>
      <c r="D11" t="s">
        <v>123</v>
      </c>
      <c r="E11" t="s">
        <v>153</v>
      </c>
      <c r="F11">
        <v>1</v>
      </c>
      <c r="G11" s="2">
        <v>1500</v>
      </c>
      <c r="H11" s="2"/>
      <c r="I11" t="s">
        <v>32</v>
      </c>
      <c r="J11" s="3">
        <v>0.03</v>
      </c>
      <c r="K11" s="4">
        <f t="shared" si="1"/>
        <v>45</v>
      </c>
      <c r="L11" t="str">
        <f t="shared" si="0"/>
        <v>Dezembro</v>
      </c>
    </row>
    <row r="12" spans="1:12" x14ac:dyDescent="0.25">
      <c r="A12">
        <v>11</v>
      </c>
      <c r="B12" s="1">
        <v>45631</v>
      </c>
      <c r="C12" t="s">
        <v>10</v>
      </c>
      <c r="D12" t="s">
        <v>124</v>
      </c>
      <c r="E12" t="s">
        <v>31</v>
      </c>
      <c r="F12">
        <v>1</v>
      </c>
      <c r="G12" s="2">
        <v>300</v>
      </c>
      <c r="H12" s="2"/>
      <c r="I12" t="s">
        <v>32</v>
      </c>
      <c r="J12" s="3">
        <v>0.03</v>
      </c>
      <c r="K12" s="4">
        <f t="shared" si="1"/>
        <v>9</v>
      </c>
      <c r="L12" t="str">
        <f t="shared" si="0"/>
        <v>Dezembro</v>
      </c>
    </row>
    <row r="13" spans="1:12" x14ac:dyDescent="0.25">
      <c r="A13">
        <v>12</v>
      </c>
      <c r="B13" s="1">
        <v>45631</v>
      </c>
      <c r="C13" t="s">
        <v>10</v>
      </c>
      <c r="D13" t="s">
        <v>125</v>
      </c>
      <c r="E13" t="s">
        <v>16</v>
      </c>
      <c r="F13">
        <v>1</v>
      </c>
      <c r="G13" s="2">
        <v>300</v>
      </c>
      <c r="H13" s="2"/>
      <c r="I13" t="s">
        <v>323</v>
      </c>
      <c r="J13" s="3">
        <v>0.03</v>
      </c>
      <c r="K13" s="4">
        <f t="shared" si="1"/>
        <v>9</v>
      </c>
      <c r="L13" t="str">
        <f t="shared" si="0"/>
        <v>Dezembro</v>
      </c>
    </row>
    <row r="14" spans="1:12" x14ac:dyDescent="0.25">
      <c r="A14">
        <v>13</v>
      </c>
      <c r="B14" s="1">
        <v>45632</v>
      </c>
      <c r="C14" t="s">
        <v>10</v>
      </c>
      <c r="D14" t="s">
        <v>126</v>
      </c>
      <c r="E14" t="s">
        <v>31</v>
      </c>
      <c r="F14">
        <v>1</v>
      </c>
      <c r="G14" s="2">
        <v>1300</v>
      </c>
      <c r="H14" s="2"/>
      <c r="I14" t="s">
        <v>32</v>
      </c>
      <c r="J14" s="3">
        <v>0.03</v>
      </c>
      <c r="K14" s="4">
        <f t="shared" si="1"/>
        <v>39</v>
      </c>
      <c r="L14" t="str">
        <f t="shared" si="0"/>
        <v>Dezembro</v>
      </c>
    </row>
    <row r="15" spans="1:12" x14ac:dyDescent="0.25">
      <c r="A15">
        <v>14</v>
      </c>
      <c r="B15" s="1">
        <v>45632</v>
      </c>
      <c r="C15" t="s">
        <v>10</v>
      </c>
      <c r="D15" t="s">
        <v>127</v>
      </c>
      <c r="E15" t="s">
        <v>11</v>
      </c>
      <c r="F15">
        <v>1</v>
      </c>
      <c r="G15" s="2">
        <v>550</v>
      </c>
      <c r="H15" s="2"/>
      <c r="I15" t="s">
        <v>32</v>
      </c>
      <c r="J15" s="3">
        <v>0.03</v>
      </c>
      <c r="K15" s="4">
        <f t="shared" si="1"/>
        <v>16.5</v>
      </c>
      <c r="L15" t="str">
        <f t="shared" si="0"/>
        <v>Dezembro</v>
      </c>
    </row>
    <row r="16" spans="1:12" x14ac:dyDescent="0.25">
      <c r="A16">
        <v>15</v>
      </c>
      <c r="B16" s="1">
        <v>45632</v>
      </c>
      <c r="C16" t="s">
        <v>10</v>
      </c>
      <c r="D16" t="s">
        <v>128</v>
      </c>
      <c r="E16" t="s">
        <v>15</v>
      </c>
      <c r="F16">
        <v>1</v>
      </c>
      <c r="G16" s="2">
        <v>1000</v>
      </c>
      <c r="H16" s="2"/>
      <c r="I16" t="s">
        <v>32</v>
      </c>
      <c r="J16" s="3">
        <v>0.03</v>
      </c>
      <c r="K16" s="4">
        <f t="shared" si="1"/>
        <v>30</v>
      </c>
      <c r="L16" t="str">
        <f t="shared" si="0"/>
        <v>Dezembro</v>
      </c>
    </row>
    <row r="17" spans="1:12" x14ac:dyDescent="0.25">
      <c r="A17">
        <v>16</v>
      </c>
      <c r="B17" s="1">
        <v>45632</v>
      </c>
      <c r="C17" t="s">
        <v>10</v>
      </c>
      <c r="D17" t="s">
        <v>129</v>
      </c>
      <c r="E17" t="s">
        <v>11</v>
      </c>
      <c r="F17">
        <v>1</v>
      </c>
      <c r="G17" s="2">
        <v>550</v>
      </c>
      <c r="H17" s="2"/>
      <c r="I17" t="s">
        <v>32</v>
      </c>
      <c r="J17" s="3">
        <v>0.03</v>
      </c>
      <c r="K17" s="4">
        <f t="shared" si="1"/>
        <v>16.5</v>
      </c>
      <c r="L17" t="str">
        <f t="shared" si="0"/>
        <v>Dezembro</v>
      </c>
    </row>
    <row r="18" spans="1:12" x14ac:dyDescent="0.25">
      <c r="A18">
        <v>17</v>
      </c>
      <c r="B18" s="1">
        <v>45632</v>
      </c>
      <c r="C18" t="s">
        <v>10</v>
      </c>
      <c r="D18" t="s">
        <v>130</v>
      </c>
      <c r="E18" t="s">
        <v>13</v>
      </c>
      <c r="F18">
        <v>1</v>
      </c>
      <c r="G18" s="2">
        <v>300</v>
      </c>
      <c r="H18" s="2"/>
      <c r="I18" t="s">
        <v>32</v>
      </c>
      <c r="J18" s="3">
        <v>0.03</v>
      </c>
      <c r="K18" s="4">
        <f t="shared" si="1"/>
        <v>9</v>
      </c>
      <c r="L18" t="str">
        <f t="shared" si="0"/>
        <v>Dezembro</v>
      </c>
    </row>
    <row r="19" spans="1:12" x14ac:dyDescent="0.25">
      <c r="A19">
        <v>18</v>
      </c>
      <c r="B19" s="1">
        <v>45636</v>
      </c>
      <c r="C19" t="s">
        <v>10</v>
      </c>
      <c r="D19" t="s">
        <v>131</v>
      </c>
      <c r="E19" t="s">
        <v>154</v>
      </c>
      <c r="F19">
        <v>1</v>
      </c>
      <c r="G19" s="2">
        <v>7500</v>
      </c>
      <c r="H19" s="2"/>
      <c r="I19" t="s">
        <v>32</v>
      </c>
      <c r="J19" s="3">
        <v>0.03</v>
      </c>
      <c r="K19" s="4">
        <f t="shared" si="1"/>
        <v>225</v>
      </c>
      <c r="L19" t="str">
        <f t="shared" si="0"/>
        <v>Dezembro</v>
      </c>
    </row>
    <row r="20" spans="1:12" x14ac:dyDescent="0.25">
      <c r="A20">
        <v>19</v>
      </c>
      <c r="B20" s="1">
        <v>45636</v>
      </c>
      <c r="C20" t="s">
        <v>10</v>
      </c>
      <c r="D20" t="s">
        <v>132</v>
      </c>
      <c r="E20" t="s">
        <v>13</v>
      </c>
      <c r="F20">
        <v>1</v>
      </c>
      <c r="G20" s="2">
        <v>500</v>
      </c>
      <c r="H20" s="2"/>
      <c r="I20" t="s">
        <v>32</v>
      </c>
      <c r="J20" s="3">
        <v>0.03</v>
      </c>
      <c r="K20" s="4">
        <f t="shared" si="1"/>
        <v>15</v>
      </c>
      <c r="L20" t="str">
        <f t="shared" si="0"/>
        <v>Dezembro</v>
      </c>
    </row>
    <row r="21" spans="1:12" x14ac:dyDescent="0.25">
      <c r="A21">
        <v>20</v>
      </c>
      <c r="B21" s="1">
        <v>45636</v>
      </c>
      <c r="C21" t="s">
        <v>10</v>
      </c>
      <c r="D21" t="s">
        <v>133</v>
      </c>
      <c r="E21" t="s">
        <v>11</v>
      </c>
      <c r="F21">
        <v>1</v>
      </c>
      <c r="G21" s="2">
        <v>500</v>
      </c>
      <c r="H21" s="2"/>
      <c r="I21" t="s">
        <v>32</v>
      </c>
      <c r="J21" s="3">
        <v>0.03</v>
      </c>
      <c r="K21" s="4">
        <f t="shared" si="1"/>
        <v>15</v>
      </c>
      <c r="L21" t="str">
        <f t="shared" si="0"/>
        <v>Dezembro</v>
      </c>
    </row>
    <row r="22" spans="1:12" x14ac:dyDescent="0.25">
      <c r="A22">
        <v>21</v>
      </c>
      <c r="B22" s="1">
        <v>45636</v>
      </c>
      <c r="C22" t="s">
        <v>10</v>
      </c>
      <c r="D22" t="s">
        <v>134</v>
      </c>
      <c r="E22" t="s">
        <v>15</v>
      </c>
      <c r="F22">
        <v>1</v>
      </c>
      <c r="G22" s="2">
        <v>1800</v>
      </c>
      <c r="H22" s="2"/>
      <c r="I22" t="s">
        <v>32</v>
      </c>
      <c r="J22" s="3">
        <v>0.03</v>
      </c>
      <c r="K22" s="4">
        <f t="shared" si="1"/>
        <v>54</v>
      </c>
      <c r="L22" t="str">
        <f t="shared" si="0"/>
        <v>Dezembro</v>
      </c>
    </row>
    <row r="23" spans="1:12" x14ac:dyDescent="0.25">
      <c r="A23">
        <v>22</v>
      </c>
      <c r="B23" s="1">
        <v>45637</v>
      </c>
      <c r="C23" t="s">
        <v>38</v>
      </c>
      <c r="D23" t="s">
        <v>157</v>
      </c>
      <c r="E23" t="s">
        <v>12</v>
      </c>
      <c r="F23">
        <v>1</v>
      </c>
      <c r="G23" s="2">
        <v>5450</v>
      </c>
      <c r="H23" s="2"/>
      <c r="I23" t="s">
        <v>32</v>
      </c>
      <c r="J23" s="3">
        <v>0.03</v>
      </c>
      <c r="K23" s="4">
        <f t="shared" ref="K23:K24" si="2">G23*J23</f>
        <v>163.5</v>
      </c>
      <c r="L23" t="str">
        <f t="shared" si="0"/>
        <v>Dezembro</v>
      </c>
    </row>
    <row r="24" spans="1:12" x14ac:dyDescent="0.25">
      <c r="A24">
        <v>23</v>
      </c>
      <c r="B24" s="1">
        <v>45637</v>
      </c>
      <c r="C24" t="s">
        <v>38</v>
      </c>
      <c r="D24" t="s">
        <v>158</v>
      </c>
      <c r="E24" t="s">
        <v>12</v>
      </c>
      <c r="F24">
        <v>1</v>
      </c>
      <c r="G24" s="2">
        <v>5450</v>
      </c>
      <c r="H24" s="2"/>
      <c r="I24" t="s">
        <v>32</v>
      </c>
      <c r="J24" s="3">
        <v>0.03</v>
      </c>
      <c r="K24" s="4">
        <f t="shared" si="2"/>
        <v>163.5</v>
      </c>
      <c r="L24" t="str">
        <f t="shared" si="0"/>
        <v>Dezembro</v>
      </c>
    </row>
    <row r="25" spans="1:12" x14ac:dyDescent="0.25">
      <c r="A25">
        <v>24</v>
      </c>
      <c r="B25" s="1">
        <v>45638</v>
      </c>
      <c r="C25" t="s">
        <v>10</v>
      </c>
      <c r="D25" t="s">
        <v>135</v>
      </c>
      <c r="E25" t="s">
        <v>13</v>
      </c>
      <c r="F25">
        <v>1</v>
      </c>
      <c r="G25" s="2">
        <v>350</v>
      </c>
      <c r="H25" s="2"/>
      <c r="I25" t="s">
        <v>32</v>
      </c>
      <c r="J25" s="3">
        <v>0.03</v>
      </c>
      <c r="K25" s="4">
        <f t="shared" si="1"/>
        <v>10.5</v>
      </c>
      <c r="L25" t="str">
        <f t="shared" si="0"/>
        <v>Dezembro</v>
      </c>
    </row>
    <row r="26" spans="1:12" x14ac:dyDescent="0.25">
      <c r="A26">
        <v>25</v>
      </c>
      <c r="B26" s="1">
        <v>45639</v>
      </c>
      <c r="C26" t="s">
        <v>10</v>
      </c>
      <c r="D26" t="s">
        <v>136</v>
      </c>
      <c r="E26" t="s">
        <v>154</v>
      </c>
      <c r="F26">
        <v>1</v>
      </c>
      <c r="G26" s="2">
        <v>7650</v>
      </c>
      <c r="H26" s="2"/>
      <c r="I26" t="s">
        <v>32</v>
      </c>
      <c r="J26" s="3">
        <v>0.03</v>
      </c>
      <c r="K26" s="4">
        <f t="shared" si="1"/>
        <v>229.5</v>
      </c>
      <c r="L26" t="str">
        <f t="shared" si="0"/>
        <v>Dezembro</v>
      </c>
    </row>
    <row r="27" spans="1:12" x14ac:dyDescent="0.25">
      <c r="A27">
        <v>26</v>
      </c>
      <c r="B27" s="1">
        <v>45639</v>
      </c>
      <c r="C27" t="s">
        <v>10</v>
      </c>
      <c r="D27" t="s">
        <v>137</v>
      </c>
      <c r="E27" t="s">
        <v>24</v>
      </c>
      <c r="F27">
        <v>1</v>
      </c>
      <c r="G27" s="2">
        <v>350</v>
      </c>
      <c r="H27" s="2"/>
      <c r="I27" t="s">
        <v>32</v>
      </c>
      <c r="J27" s="3">
        <v>0.03</v>
      </c>
      <c r="K27" s="4">
        <f t="shared" si="1"/>
        <v>10.5</v>
      </c>
      <c r="L27" t="str">
        <f t="shared" si="0"/>
        <v>Dezembro</v>
      </c>
    </row>
    <row r="28" spans="1:12" x14ac:dyDescent="0.25">
      <c r="A28">
        <v>27</v>
      </c>
      <c r="B28" s="1">
        <v>45639</v>
      </c>
      <c r="C28" t="s">
        <v>10</v>
      </c>
      <c r="D28" t="s">
        <v>138</v>
      </c>
      <c r="E28" t="s">
        <v>11</v>
      </c>
      <c r="F28">
        <v>1</v>
      </c>
      <c r="G28" s="2">
        <v>550</v>
      </c>
      <c r="H28" s="2"/>
      <c r="I28" t="s">
        <v>32</v>
      </c>
      <c r="J28" s="3">
        <v>0.03</v>
      </c>
      <c r="K28" s="4">
        <f t="shared" si="1"/>
        <v>16.5</v>
      </c>
      <c r="L28" t="str">
        <f t="shared" si="0"/>
        <v>Dezembro</v>
      </c>
    </row>
    <row r="29" spans="1:12" x14ac:dyDescent="0.25">
      <c r="A29">
        <v>28</v>
      </c>
      <c r="B29" s="1">
        <v>45639</v>
      </c>
      <c r="C29" t="s">
        <v>10</v>
      </c>
      <c r="D29" t="s">
        <v>139</v>
      </c>
      <c r="E29" t="s">
        <v>13</v>
      </c>
      <c r="F29">
        <v>1</v>
      </c>
      <c r="G29" s="2">
        <v>500</v>
      </c>
      <c r="H29" s="2"/>
      <c r="I29" t="s">
        <v>32</v>
      </c>
      <c r="J29" s="3">
        <v>0.03</v>
      </c>
      <c r="K29" s="4">
        <f t="shared" si="1"/>
        <v>15</v>
      </c>
      <c r="L29" t="str">
        <f t="shared" si="0"/>
        <v>Dezembro</v>
      </c>
    </row>
    <row r="30" spans="1:12" x14ac:dyDescent="0.25">
      <c r="A30">
        <v>29</v>
      </c>
      <c r="B30" s="1">
        <v>45639</v>
      </c>
      <c r="C30" t="s">
        <v>10</v>
      </c>
      <c r="D30" t="s">
        <v>140</v>
      </c>
      <c r="E30" t="s">
        <v>15</v>
      </c>
      <c r="F30">
        <v>1</v>
      </c>
      <c r="G30" s="2">
        <v>1000</v>
      </c>
      <c r="H30" s="2"/>
      <c r="I30" t="s">
        <v>323</v>
      </c>
      <c r="J30" s="3">
        <v>0.03</v>
      </c>
      <c r="K30" s="4">
        <f t="shared" si="1"/>
        <v>30</v>
      </c>
      <c r="L30" t="str">
        <f t="shared" si="0"/>
        <v>Dezembro</v>
      </c>
    </row>
    <row r="31" spans="1:12" x14ac:dyDescent="0.25">
      <c r="A31">
        <v>30</v>
      </c>
      <c r="B31" s="1">
        <v>45639</v>
      </c>
      <c r="C31" t="s">
        <v>10</v>
      </c>
      <c r="D31" t="s">
        <v>141</v>
      </c>
      <c r="E31" t="s">
        <v>155</v>
      </c>
      <c r="F31">
        <v>1</v>
      </c>
      <c r="G31" s="2">
        <v>3600</v>
      </c>
      <c r="H31" s="2"/>
      <c r="I31" t="s">
        <v>32</v>
      </c>
      <c r="J31" s="3">
        <v>0.03</v>
      </c>
      <c r="K31" s="4">
        <f t="shared" si="1"/>
        <v>108</v>
      </c>
      <c r="L31" t="str">
        <f t="shared" si="0"/>
        <v>Dezembro</v>
      </c>
    </row>
    <row r="32" spans="1:12" x14ac:dyDescent="0.25">
      <c r="A32">
        <v>31</v>
      </c>
      <c r="B32" s="1">
        <v>45643</v>
      </c>
      <c r="C32" t="s">
        <v>10</v>
      </c>
      <c r="D32" t="s">
        <v>142</v>
      </c>
      <c r="E32" t="s">
        <v>12</v>
      </c>
      <c r="F32">
        <v>1</v>
      </c>
      <c r="G32" s="2">
        <v>3800</v>
      </c>
      <c r="H32" s="2"/>
      <c r="I32" t="s">
        <v>32</v>
      </c>
      <c r="J32" s="3">
        <v>0.03</v>
      </c>
      <c r="K32" s="4">
        <f t="shared" si="1"/>
        <v>114</v>
      </c>
      <c r="L32" t="str">
        <f t="shared" si="0"/>
        <v>Dezembro</v>
      </c>
    </row>
    <row r="33" spans="1:12" x14ac:dyDescent="0.25">
      <c r="A33">
        <v>32</v>
      </c>
      <c r="B33" s="1">
        <v>45643</v>
      </c>
      <c r="C33" t="s">
        <v>10</v>
      </c>
      <c r="D33" t="s">
        <v>143</v>
      </c>
      <c r="E33" t="s">
        <v>23</v>
      </c>
      <c r="F33">
        <v>1</v>
      </c>
      <c r="G33" s="2">
        <v>550</v>
      </c>
      <c r="H33" s="2"/>
      <c r="I33" t="s">
        <v>32</v>
      </c>
      <c r="J33" s="3">
        <v>0.03</v>
      </c>
      <c r="K33" s="4">
        <f t="shared" si="1"/>
        <v>16.5</v>
      </c>
      <c r="L33" t="str">
        <f t="shared" si="0"/>
        <v>Dezembro</v>
      </c>
    </row>
    <row r="34" spans="1:12" x14ac:dyDescent="0.25">
      <c r="A34">
        <v>33</v>
      </c>
      <c r="B34" s="1">
        <v>45643</v>
      </c>
      <c r="C34" t="s">
        <v>10</v>
      </c>
      <c r="D34" t="s">
        <v>144</v>
      </c>
      <c r="E34" t="s">
        <v>11</v>
      </c>
      <c r="F34">
        <v>1</v>
      </c>
      <c r="G34" s="2">
        <v>550</v>
      </c>
      <c r="H34" s="2"/>
      <c r="I34" t="s">
        <v>32</v>
      </c>
      <c r="J34" s="3">
        <v>0.03</v>
      </c>
      <c r="K34" s="4">
        <f t="shared" si="1"/>
        <v>16.5</v>
      </c>
      <c r="L34" t="str">
        <f t="shared" si="0"/>
        <v>Dezembro</v>
      </c>
    </row>
    <row r="35" spans="1:12" x14ac:dyDescent="0.25">
      <c r="A35">
        <v>34</v>
      </c>
      <c r="B35" s="1">
        <v>45643</v>
      </c>
      <c r="C35" t="s">
        <v>10</v>
      </c>
      <c r="D35" t="s">
        <v>145</v>
      </c>
      <c r="E35" t="s">
        <v>16</v>
      </c>
      <c r="F35">
        <v>1</v>
      </c>
      <c r="G35" s="2">
        <v>300</v>
      </c>
      <c r="H35" s="2"/>
      <c r="I35" t="s">
        <v>32</v>
      </c>
      <c r="J35" s="3">
        <v>0.03</v>
      </c>
      <c r="K35" s="4">
        <f t="shared" si="1"/>
        <v>9</v>
      </c>
      <c r="L35" t="str">
        <f t="shared" si="0"/>
        <v>Dezembro</v>
      </c>
    </row>
    <row r="36" spans="1:12" x14ac:dyDescent="0.25">
      <c r="A36">
        <v>35</v>
      </c>
      <c r="B36" s="1">
        <v>45644</v>
      </c>
      <c r="C36" t="s">
        <v>38</v>
      </c>
      <c r="D36" t="s">
        <v>160</v>
      </c>
      <c r="E36" t="s">
        <v>159</v>
      </c>
      <c r="F36">
        <v>1</v>
      </c>
      <c r="G36" s="2">
        <v>3000</v>
      </c>
      <c r="H36" s="2"/>
      <c r="I36" t="s">
        <v>32</v>
      </c>
      <c r="J36" s="3">
        <v>0.03</v>
      </c>
      <c r="K36" s="4">
        <f t="shared" ref="K36:K37" si="3">G36*J36</f>
        <v>90</v>
      </c>
      <c r="L36" t="str">
        <f t="shared" si="0"/>
        <v>Dezembro</v>
      </c>
    </row>
    <row r="37" spans="1:12" x14ac:dyDescent="0.25">
      <c r="A37">
        <v>36</v>
      </c>
      <c r="B37" s="1">
        <v>45644</v>
      </c>
      <c r="C37" t="s">
        <v>38</v>
      </c>
      <c r="D37" t="s">
        <v>161</v>
      </c>
      <c r="E37" t="s">
        <v>13</v>
      </c>
      <c r="F37">
        <v>1</v>
      </c>
      <c r="G37" s="2">
        <v>700</v>
      </c>
      <c r="H37" s="2"/>
      <c r="I37" t="s">
        <v>32</v>
      </c>
      <c r="J37" s="3">
        <v>0.03</v>
      </c>
      <c r="K37" s="4">
        <f t="shared" si="3"/>
        <v>21</v>
      </c>
      <c r="L37" t="str">
        <f t="shared" si="0"/>
        <v>Dezembro</v>
      </c>
    </row>
    <row r="38" spans="1:12" x14ac:dyDescent="0.25">
      <c r="A38">
        <v>37</v>
      </c>
      <c r="B38" s="1">
        <v>45645</v>
      </c>
      <c r="C38" t="s">
        <v>10</v>
      </c>
      <c r="D38" t="s">
        <v>118</v>
      </c>
      <c r="E38" t="s">
        <v>13</v>
      </c>
      <c r="F38">
        <v>1</v>
      </c>
      <c r="G38" s="2">
        <v>500</v>
      </c>
      <c r="H38" s="2"/>
      <c r="I38" t="s">
        <v>32</v>
      </c>
      <c r="J38" s="3">
        <v>0.03</v>
      </c>
      <c r="K38" s="4">
        <f t="shared" si="1"/>
        <v>15</v>
      </c>
      <c r="L38" t="str">
        <f t="shared" si="0"/>
        <v>Dezembro</v>
      </c>
    </row>
    <row r="39" spans="1:12" x14ac:dyDescent="0.25">
      <c r="A39">
        <v>38</v>
      </c>
      <c r="B39" s="1">
        <v>45645</v>
      </c>
      <c r="C39" t="s">
        <v>10</v>
      </c>
      <c r="D39" t="s">
        <v>146</v>
      </c>
      <c r="E39" t="s">
        <v>11</v>
      </c>
      <c r="F39">
        <v>1</v>
      </c>
      <c r="G39" s="2">
        <v>550</v>
      </c>
      <c r="H39" s="2"/>
      <c r="I39" t="s">
        <v>32</v>
      </c>
      <c r="J39" s="3">
        <v>0.03</v>
      </c>
      <c r="K39" s="4">
        <f t="shared" si="1"/>
        <v>16.5</v>
      </c>
      <c r="L39" t="str">
        <f t="shared" si="0"/>
        <v>Dezembro</v>
      </c>
    </row>
    <row r="40" spans="1:12" x14ac:dyDescent="0.25">
      <c r="A40">
        <v>39</v>
      </c>
      <c r="B40" s="1">
        <v>45642</v>
      </c>
      <c r="C40" t="s">
        <v>10</v>
      </c>
      <c r="D40" t="s">
        <v>147</v>
      </c>
      <c r="E40" t="s">
        <v>14</v>
      </c>
      <c r="F40">
        <v>1</v>
      </c>
      <c r="G40" s="2">
        <v>1750</v>
      </c>
      <c r="H40" s="2"/>
      <c r="I40" t="s">
        <v>323</v>
      </c>
      <c r="J40" s="3">
        <v>0.03</v>
      </c>
      <c r="K40" s="4">
        <f t="shared" si="1"/>
        <v>52.5</v>
      </c>
      <c r="L40" t="str">
        <f t="shared" si="0"/>
        <v>Dezembro</v>
      </c>
    </row>
    <row r="41" spans="1:12" x14ac:dyDescent="0.25">
      <c r="A41">
        <v>40</v>
      </c>
      <c r="B41" s="1">
        <v>45645</v>
      </c>
      <c r="C41" t="s">
        <v>10</v>
      </c>
      <c r="D41" t="s">
        <v>148</v>
      </c>
      <c r="E41" t="s">
        <v>13</v>
      </c>
      <c r="F41">
        <v>1</v>
      </c>
      <c r="G41" s="2">
        <v>200</v>
      </c>
      <c r="H41" s="2"/>
      <c r="I41" t="s">
        <v>32</v>
      </c>
      <c r="J41" s="3">
        <v>0.03</v>
      </c>
      <c r="K41" s="4">
        <f t="shared" si="1"/>
        <v>6</v>
      </c>
      <c r="L41" t="str">
        <f t="shared" si="0"/>
        <v>Dezembro</v>
      </c>
    </row>
    <row r="42" spans="1:12" x14ac:dyDescent="0.25">
      <c r="A42">
        <v>41</v>
      </c>
      <c r="B42" s="1">
        <v>45645</v>
      </c>
      <c r="C42" t="s">
        <v>10</v>
      </c>
      <c r="D42" t="s">
        <v>122</v>
      </c>
      <c r="E42" t="s">
        <v>13</v>
      </c>
      <c r="F42">
        <v>1</v>
      </c>
      <c r="G42" s="2">
        <v>1000</v>
      </c>
      <c r="H42" s="2"/>
      <c r="I42" t="s">
        <v>32</v>
      </c>
      <c r="J42" s="3">
        <v>0.03</v>
      </c>
      <c r="K42" s="4">
        <f t="shared" si="1"/>
        <v>30</v>
      </c>
      <c r="L42" t="str">
        <f t="shared" si="0"/>
        <v>Dezembro</v>
      </c>
    </row>
    <row r="43" spans="1:12" x14ac:dyDescent="0.25">
      <c r="A43">
        <v>42</v>
      </c>
      <c r="B43" s="1">
        <v>45645</v>
      </c>
      <c r="C43" t="s">
        <v>10</v>
      </c>
      <c r="D43" t="s">
        <v>149</v>
      </c>
      <c r="E43" t="s">
        <v>31</v>
      </c>
      <c r="F43">
        <v>1</v>
      </c>
      <c r="G43" s="2">
        <v>1200</v>
      </c>
      <c r="H43" s="2"/>
      <c r="I43" t="s">
        <v>32</v>
      </c>
      <c r="J43" s="3">
        <v>0.03</v>
      </c>
      <c r="K43" s="4">
        <f t="shared" si="1"/>
        <v>36</v>
      </c>
      <c r="L43" t="str">
        <f t="shared" si="0"/>
        <v>Dezembro</v>
      </c>
    </row>
    <row r="44" spans="1:12" x14ac:dyDescent="0.25">
      <c r="A44">
        <v>43</v>
      </c>
      <c r="B44" s="1">
        <v>45645</v>
      </c>
      <c r="C44" t="s">
        <v>10</v>
      </c>
      <c r="D44" t="s">
        <v>150</v>
      </c>
      <c r="E44" t="s">
        <v>15</v>
      </c>
      <c r="F44">
        <v>1</v>
      </c>
      <c r="G44" s="2">
        <v>1000</v>
      </c>
      <c r="H44" s="2"/>
      <c r="I44" t="s">
        <v>32</v>
      </c>
      <c r="J44" s="3">
        <v>0.03</v>
      </c>
      <c r="K44" s="4">
        <f t="shared" si="1"/>
        <v>30</v>
      </c>
      <c r="L44" t="str">
        <f t="shared" si="0"/>
        <v>Dezembro</v>
      </c>
    </row>
    <row r="45" spans="1:12" x14ac:dyDescent="0.25">
      <c r="A45">
        <v>44</v>
      </c>
      <c r="B45" s="1">
        <v>45645</v>
      </c>
      <c r="C45" t="s">
        <v>10</v>
      </c>
      <c r="D45" t="s">
        <v>151</v>
      </c>
      <c r="E45" t="s">
        <v>15</v>
      </c>
      <c r="F45">
        <v>1</v>
      </c>
      <c r="G45" s="2">
        <v>1000</v>
      </c>
      <c r="H45" s="2"/>
      <c r="I45" t="s">
        <v>32</v>
      </c>
      <c r="J45" s="3">
        <v>0.03</v>
      </c>
      <c r="K45" s="4">
        <f t="shared" si="1"/>
        <v>30</v>
      </c>
      <c r="L45" t="str">
        <f t="shared" si="0"/>
        <v>Dezembro</v>
      </c>
    </row>
    <row r="46" spans="1:12" x14ac:dyDescent="0.25">
      <c r="A46">
        <v>45</v>
      </c>
      <c r="B46" s="1">
        <v>45748</v>
      </c>
      <c r="C46" t="s">
        <v>10</v>
      </c>
      <c r="D46" t="s">
        <v>162</v>
      </c>
      <c r="E46" t="s">
        <v>13</v>
      </c>
      <c r="F46">
        <v>1</v>
      </c>
      <c r="G46" s="2">
        <v>500</v>
      </c>
      <c r="H46" s="2">
        <v>3</v>
      </c>
      <c r="I46" t="s">
        <v>32</v>
      </c>
      <c r="J46" s="3">
        <v>0.03</v>
      </c>
      <c r="K46" s="4">
        <f>G46*J46</f>
        <v>15</v>
      </c>
      <c r="L46" t="str">
        <f t="shared" si="0"/>
        <v>Abril</v>
      </c>
    </row>
    <row r="47" spans="1:12" x14ac:dyDescent="0.25">
      <c r="A47">
        <v>46</v>
      </c>
      <c r="B47" s="1">
        <v>45748</v>
      </c>
      <c r="C47" t="s">
        <v>10</v>
      </c>
      <c r="D47" t="s">
        <v>163</v>
      </c>
      <c r="E47" t="s">
        <v>13</v>
      </c>
      <c r="F47">
        <v>1</v>
      </c>
      <c r="G47" s="2">
        <v>700</v>
      </c>
      <c r="H47" s="2">
        <v>29.68</v>
      </c>
      <c r="I47" t="s">
        <v>32</v>
      </c>
      <c r="J47" s="3">
        <v>0.03</v>
      </c>
      <c r="K47" s="4">
        <f t="shared" ref="K47:K110" si="4">G47*J47</f>
        <v>21</v>
      </c>
      <c r="L47" t="str">
        <f t="shared" si="0"/>
        <v>Abril</v>
      </c>
    </row>
    <row r="48" spans="1:12" x14ac:dyDescent="0.25">
      <c r="A48">
        <v>47</v>
      </c>
      <c r="B48" s="1">
        <v>45748</v>
      </c>
      <c r="C48" t="s">
        <v>10</v>
      </c>
      <c r="D48" t="s">
        <v>68</v>
      </c>
      <c r="E48" t="s">
        <v>11</v>
      </c>
      <c r="F48">
        <v>1</v>
      </c>
      <c r="G48" s="2">
        <v>590</v>
      </c>
      <c r="H48" s="2"/>
      <c r="I48" t="s">
        <v>32</v>
      </c>
      <c r="J48" s="3">
        <v>0.03</v>
      </c>
      <c r="K48" s="4">
        <f t="shared" si="4"/>
        <v>17.7</v>
      </c>
      <c r="L48" t="str">
        <f t="shared" si="0"/>
        <v>Abril</v>
      </c>
    </row>
    <row r="49" spans="1:12" x14ac:dyDescent="0.25">
      <c r="A49">
        <v>48</v>
      </c>
      <c r="B49" s="1">
        <v>45748</v>
      </c>
      <c r="C49" t="s">
        <v>10</v>
      </c>
      <c r="D49" t="s">
        <v>164</v>
      </c>
      <c r="E49" t="s">
        <v>11</v>
      </c>
      <c r="F49">
        <v>1</v>
      </c>
      <c r="G49" s="2">
        <v>590</v>
      </c>
      <c r="H49" s="2"/>
      <c r="I49" t="s">
        <v>32</v>
      </c>
      <c r="J49" s="3">
        <v>0.03</v>
      </c>
      <c r="K49" s="4">
        <f t="shared" si="4"/>
        <v>17.7</v>
      </c>
      <c r="L49" t="str">
        <f t="shared" si="0"/>
        <v>Abril</v>
      </c>
    </row>
    <row r="50" spans="1:12" x14ac:dyDescent="0.25">
      <c r="A50">
        <v>49</v>
      </c>
      <c r="B50" s="1">
        <v>45748</v>
      </c>
      <c r="C50" t="s">
        <v>10</v>
      </c>
      <c r="D50" t="s">
        <v>165</v>
      </c>
      <c r="E50" t="s">
        <v>13</v>
      </c>
      <c r="F50">
        <v>1</v>
      </c>
      <c r="G50" s="2">
        <v>300</v>
      </c>
      <c r="H50" s="2">
        <v>5.24</v>
      </c>
      <c r="I50" t="s">
        <v>32</v>
      </c>
      <c r="J50" s="3">
        <v>0.03</v>
      </c>
      <c r="K50" s="4">
        <f t="shared" si="4"/>
        <v>9</v>
      </c>
      <c r="L50" t="str">
        <f t="shared" si="0"/>
        <v>Abril</v>
      </c>
    </row>
    <row r="51" spans="1:12" x14ac:dyDescent="0.25">
      <c r="A51">
        <v>50</v>
      </c>
      <c r="B51" s="1">
        <v>45748</v>
      </c>
      <c r="C51" t="s">
        <v>10</v>
      </c>
      <c r="D51" t="s">
        <v>166</v>
      </c>
      <c r="E51" t="s">
        <v>11</v>
      </c>
      <c r="F51">
        <v>1</v>
      </c>
      <c r="G51" s="2">
        <v>590</v>
      </c>
      <c r="H51" s="2">
        <v>39.058</v>
      </c>
      <c r="I51" t="s">
        <v>32</v>
      </c>
      <c r="J51" s="3">
        <v>0.03</v>
      </c>
      <c r="K51" s="4">
        <f t="shared" si="4"/>
        <v>17.7</v>
      </c>
      <c r="L51" t="str">
        <f t="shared" si="0"/>
        <v>Abril</v>
      </c>
    </row>
    <row r="52" spans="1:12" x14ac:dyDescent="0.25">
      <c r="A52">
        <v>51</v>
      </c>
      <c r="B52" s="1">
        <v>45748</v>
      </c>
      <c r="C52" t="s">
        <v>10</v>
      </c>
      <c r="D52" t="s">
        <v>167</v>
      </c>
      <c r="E52" t="s">
        <v>16</v>
      </c>
      <c r="F52">
        <v>1</v>
      </c>
      <c r="G52" s="2">
        <v>350</v>
      </c>
      <c r="H52" s="2">
        <v>4.585</v>
      </c>
      <c r="I52" t="s">
        <v>32</v>
      </c>
      <c r="J52" s="3">
        <v>0.03</v>
      </c>
      <c r="K52" s="4">
        <f t="shared" si="4"/>
        <v>10.5</v>
      </c>
      <c r="L52" t="str">
        <f t="shared" si="0"/>
        <v>Abril</v>
      </c>
    </row>
    <row r="53" spans="1:12" x14ac:dyDescent="0.25">
      <c r="A53">
        <v>52</v>
      </c>
      <c r="B53" s="1">
        <v>45748</v>
      </c>
      <c r="C53" t="s">
        <v>10</v>
      </c>
      <c r="D53" t="s">
        <v>168</v>
      </c>
      <c r="E53" t="s">
        <v>11</v>
      </c>
      <c r="F53">
        <v>1</v>
      </c>
      <c r="G53" s="2">
        <v>590</v>
      </c>
      <c r="H53" s="2"/>
      <c r="I53" t="s">
        <v>32</v>
      </c>
      <c r="J53" s="3">
        <v>0.03</v>
      </c>
      <c r="K53" s="4">
        <f t="shared" si="4"/>
        <v>17.7</v>
      </c>
      <c r="L53" t="str">
        <f t="shared" si="0"/>
        <v>Abril</v>
      </c>
    </row>
    <row r="54" spans="1:12" x14ac:dyDescent="0.25">
      <c r="A54">
        <v>53</v>
      </c>
      <c r="B54" s="1">
        <v>45748</v>
      </c>
      <c r="C54" t="s">
        <v>10</v>
      </c>
      <c r="D54" t="s">
        <v>169</v>
      </c>
      <c r="E54" t="s">
        <v>13</v>
      </c>
      <c r="F54">
        <v>1</v>
      </c>
      <c r="G54" s="2">
        <v>500</v>
      </c>
      <c r="H54" s="2">
        <v>21.2</v>
      </c>
      <c r="I54" t="s">
        <v>32</v>
      </c>
      <c r="J54" s="3">
        <v>0.03</v>
      </c>
      <c r="K54" s="4">
        <f t="shared" si="4"/>
        <v>15</v>
      </c>
      <c r="L54" t="str">
        <f t="shared" si="0"/>
        <v>Abril</v>
      </c>
    </row>
    <row r="55" spans="1:12" x14ac:dyDescent="0.25">
      <c r="A55">
        <v>54</v>
      </c>
      <c r="B55" s="1">
        <v>45748</v>
      </c>
      <c r="C55" t="s">
        <v>10</v>
      </c>
      <c r="D55" t="s">
        <v>53</v>
      </c>
      <c r="E55" t="s">
        <v>13</v>
      </c>
      <c r="F55">
        <v>1</v>
      </c>
      <c r="G55" s="2">
        <v>700</v>
      </c>
      <c r="H55" s="2">
        <v>9.17</v>
      </c>
      <c r="I55" t="s">
        <v>323</v>
      </c>
      <c r="J55" s="3">
        <v>0.03</v>
      </c>
      <c r="K55" s="4">
        <f t="shared" si="4"/>
        <v>21</v>
      </c>
      <c r="L55" t="str">
        <f t="shared" si="0"/>
        <v>Abril</v>
      </c>
    </row>
    <row r="56" spans="1:12" x14ac:dyDescent="0.25">
      <c r="A56">
        <v>55</v>
      </c>
      <c r="B56" s="1">
        <v>45748</v>
      </c>
      <c r="C56" t="s">
        <v>10</v>
      </c>
      <c r="D56" t="s">
        <v>77</v>
      </c>
      <c r="E56" t="s">
        <v>16</v>
      </c>
      <c r="F56">
        <v>1</v>
      </c>
      <c r="G56" s="2">
        <v>300</v>
      </c>
      <c r="H56" s="2"/>
      <c r="I56" t="s">
        <v>32</v>
      </c>
      <c r="J56" s="3">
        <v>0.03</v>
      </c>
      <c r="K56" s="4">
        <f t="shared" si="4"/>
        <v>9</v>
      </c>
      <c r="L56" t="str">
        <f t="shared" si="0"/>
        <v>Abril</v>
      </c>
    </row>
    <row r="57" spans="1:12" x14ac:dyDescent="0.25">
      <c r="A57">
        <v>56</v>
      </c>
      <c r="B57" s="1">
        <v>45748</v>
      </c>
      <c r="C57" t="s">
        <v>10</v>
      </c>
      <c r="D57" t="s">
        <v>103</v>
      </c>
      <c r="E57" t="s">
        <v>19</v>
      </c>
      <c r="F57">
        <v>1</v>
      </c>
      <c r="G57" s="2">
        <v>590</v>
      </c>
      <c r="H57" s="2"/>
      <c r="I57" t="s">
        <v>32</v>
      </c>
      <c r="J57" s="3">
        <v>0.03</v>
      </c>
      <c r="K57" s="4">
        <f t="shared" si="4"/>
        <v>17.7</v>
      </c>
      <c r="L57" t="str">
        <f t="shared" si="0"/>
        <v>Abril</v>
      </c>
    </row>
    <row r="58" spans="1:12" x14ac:dyDescent="0.25">
      <c r="A58">
        <v>57</v>
      </c>
      <c r="B58" s="1">
        <v>45748</v>
      </c>
      <c r="C58" t="s">
        <v>10</v>
      </c>
      <c r="D58" t="s">
        <v>170</v>
      </c>
      <c r="E58" t="s">
        <v>19</v>
      </c>
      <c r="F58">
        <v>1</v>
      </c>
      <c r="G58" s="2">
        <v>590</v>
      </c>
      <c r="H58" s="2">
        <v>7.7290000000000001</v>
      </c>
      <c r="I58" t="s">
        <v>32</v>
      </c>
      <c r="J58" s="3">
        <v>0.03</v>
      </c>
      <c r="K58" s="4">
        <f t="shared" si="4"/>
        <v>17.7</v>
      </c>
      <c r="L58" t="str">
        <f t="shared" si="0"/>
        <v>Abril</v>
      </c>
    </row>
    <row r="59" spans="1:12" x14ac:dyDescent="0.25">
      <c r="A59">
        <v>58</v>
      </c>
      <c r="B59" s="1">
        <v>45748</v>
      </c>
      <c r="C59" t="s">
        <v>10</v>
      </c>
      <c r="D59" t="s">
        <v>171</v>
      </c>
      <c r="E59" t="s">
        <v>20</v>
      </c>
      <c r="F59">
        <v>1</v>
      </c>
      <c r="G59" s="2">
        <v>250</v>
      </c>
      <c r="H59" s="2"/>
      <c r="I59" t="s">
        <v>32</v>
      </c>
      <c r="J59" s="3">
        <v>0.03</v>
      </c>
      <c r="K59" s="4">
        <f t="shared" si="4"/>
        <v>7.5</v>
      </c>
      <c r="L59" t="str">
        <f t="shared" si="0"/>
        <v>Abril</v>
      </c>
    </row>
    <row r="60" spans="1:12" x14ac:dyDescent="0.25">
      <c r="A60">
        <v>59</v>
      </c>
      <c r="B60" s="1">
        <v>45748</v>
      </c>
      <c r="C60" t="s">
        <v>10</v>
      </c>
      <c r="D60" t="s">
        <v>103</v>
      </c>
      <c r="E60" t="s">
        <v>21</v>
      </c>
      <c r="F60">
        <v>1</v>
      </c>
      <c r="G60" s="2">
        <v>1400</v>
      </c>
      <c r="H60" s="2"/>
      <c r="I60" t="s">
        <v>32</v>
      </c>
      <c r="J60" s="3">
        <v>0.03</v>
      </c>
      <c r="K60" s="4">
        <f t="shared" si="4"/>
        <v>42</v>
      </c>
      <c r="L60" t="str">
        <f t="shared" si="0"/>
        <v>Abril</v>
      </c>
    </row>
    <row r="61" spans="1:12" x14ac:dyDescent="0.25">
      <c r="A61">
        <v>60</v>
      </c>
      <c r="B61" s="1">
        <v>45750</v>
      </c>
      <c r="C61" t="s">
        <v>10</v>
      </c>
      <c r="D61" t="s">
        <v>172</v>
      </c>
      <c r="E61" t="s">
        <v>19</v>
      </c>
      <c r="F61">
        <v>1</v>
      </c>
      <c r="G61" s="2">
        <v>590</v>
      </c>
      <c r="H61" s="2">
        <v>39.058</v>
      </c>
      <c r="I61" t="s">
        <v>32</v>
      </c>
      <c r="J61" s="3">
        <v>0.03</v>
      </c>
      <c r="K61" s="4">
        <f t="shared" si="4"/>
        <v>17.7</v>
      </c>
      <c r="L61" t="str">
        <f t="shared" si="0"/>
        <v>Abril</v>
      </c>
    </row>
    <row r="62" spans="1:12" x14ac:dyDescent="0.25">
      <c r="A62">
        <v>61</v>
      </c>
      <c r="B62" s="1">
        <v>45750</v>
      </c>
      <c r="C62" t="s">
        <v>10</v>
      </c>
      <c r="D62" t="s">
        <v>173</v>
      </c>
      <c r="E62" t="s">
        <v>13</v>
      </c>
      <c r="F62">
        <v>1</v>
      </c>
      <c r="G62" s="2">
        <v>100</v>
      </c>
      <c r="H62" s="2">
        <v>25.44</v>
      </c>
      <c r="I62" t="s">
        <v>32</v>
      </c>
      <c r="J62" s="3">
        <v>0.03</v>
      </c>
      <c r="K62" s="4">
        <f t="shared" si="4"/>
        <v>3</v>
      </c>
      <c r="L62" t="str">
        <f t="shared" si="0"/>
        <v>Abril</v>
      </c>
    </row>
    <row r="63" spans="1:12" x14ac:dyDescent="0.25">
      <c r="A63">
        <v>62</v>
      </c>
      <c r="B63" s="1">
        <v>45750</v>
      </c>
      <c r="C63" t="s">
        <v>10</v>
      </c>
      <c r="D63" t="s">
        <v>174</v>
      </c>
      <c r="E63" t="s">
        <v>18</v>
      </c>
      <c r="F63">
        <v>1</v>
      </c>
      <c r="G63" s="2">
        <v>4800</v>
      </c>
      <c r="H63" s="2"/>
      <c r="I63" t="s">
        <v>32</v>
      </c>
      <c r="J63" s="3">
        <v>0.03</v>
      </c>
      <c r="K63" s="4">
        <f t="shared" si="4"/>
        <v>144</v>
      </c>
      <c r="L63" t="str">
        <f t="shared" si="0"/>
        <v>Abril</v>
      </c>
    </row>
    <row r="64" spans="1:12" x14ac:dyDescent="0.25">
      <c r="A64">
        <v>63</v>
      </c>
      <c r="B64" s="1">
        <v>45750</v>
      </c>
      <c r="C64" t="s">
        <v>10</v>
      </c>
      <c r="D64" t="s">
        <v>175</v>
      </c>
      <c r="E64" t="s">
        <v>19</v>
      </c>
      <c r="F64">
        <v>1</v>
      </c>
      <c r="G64" s="2">
        <v>590</v>
      </c>
      <c r="H64" s="2"/>
      <c r="I64" t="s">
        <v>32</v>
      </c>
      <c r="J64" s="3">
        <v>0.03</v>
      </c>
      <c r="K64" s="4">
        <f t="shared" si="4"/>
        <v>17.7</v>
      </c>
      <c r="L64" t="str">
        <f t="shared" si="0"/>
        <v>Abril</v>
      </c>
    </row>
    <row r="65" spans="1:12" x14ac:dyDescent="0.25">
      <c r="A65">
        <v>64</v>
      </c>
      <c r="B65" s="1">
        <v>45750</v>
      </c>
      <c r="C65" t="s">
        <v>10</v>
      </c>
      <c r="D65" t="s">
        <v>176</v>
      </c>
      <c r="E65" t="s">
        <v>18</v>
      </c>
      <c r="F65">
        <v>1</v>
      </c>
      <c r="G65" s="2">
        <v>2000</v>
      </c>
      <c r="H65" s="2">
        <v>66.199999999999989</v>
      </c>
      <c r="I65" t="s">
        <v>32</v>
      </c>
      <c r="J65" s="3">
        <v>0.03</v>
      </c>
      <c r="K65" s="4">
        <f t="shared" si="4"/>
        <v>60</v>
      </c>
      <c r="L65" t="str">
        <f t="shared" si="0"/>
        <v>Abril</v>
      </c>
    </row>
    <row r="66" spans="1:12" x14ac:dyDescent="0.25">
      <c r="A66">
        <v>65</v>
      </c>
      <c r="B66" s="1">
        <v>45750</v>
      </c>
      <c r="C66" t="s">
        <v>10</v>
      </c>
      <c r="D66" t="s">
        <v>177</v>
      </c>
      <c r="E66" t="s">
        <v>20</v>
      </c>
      <c r="F66">
        <v>1</v>
      </c>
      <c r="G66" s="2">
        <v>300</v>
      </c>
      <c r="H66" s="2"/>
      <c r="I66" t="s">
        <v>32</v>
      </c>
      <c r="J66" s="3">
        <v>0.03</v>
      </c>
      <c r="K66" s="4">
        <f t="shared" si="4"/>
        <v>9</v>
      </c>
      <c r="L66" t="str">
        <f t="shared" ref="L66:L129" si="5">PROPER(TEXT(B66,"mmmm"))</f>
        <v>Abril</v>
      </c>
    </row>
    <row r="67" spans="1:12" x14ac:dyDescent="0.25">
      <c r="A67">
        <v>66</v>
      </c>
      <c r="B67" s="1">
        <v>45750</v>
      </c>
      <c r="C67" t="s">
        <v>10</v>
      </c>
      <c r="D67" t="s">
        <v>71</v>
      </c>
      <c r="E67" t="s">
        <v>20</v>
      </c>
      <c r="F67">
        <v>1</v>
      </c>
      <c r="G67" s="2">
        <v>350</v>
      </c>
      <c r="H67" s="2">
        <v>6272.4014336917562</v>
      </c>
      <c r="I67" t="s">
        <v>32</v>
      </c>
      <c r="J67" s="3">
        <v>0.03</v>
      </c>
      <c r="K67" s="4">
        <f t="shared" si="4"/>
        <v>10.5</v>
      </c>
      <c r="L67" t="str">
        <f t="shared" si="5"/>
        <v>Abril</v>
      </c>
    </row>
    <row r="68" spans="1:12" x14ac:dyDescent="0.25">
      <c r="A68">
        <v>67</v>
      </c>
      <c r="B68" s="1">
        <v>45750</v>
      </c>
      <c r="C68" t="s">
        <v>10</v>
      </c>
      <c r="D68" t="s">
        <v>90</v>
      </c>
      <c r="E68" t="s">
        <v>21</v>
      </c>
      <c r="F68">
        <v>1</v>
      </c>
      <c r="G68" s="2">
        <v>5000</v>
      </c>
      <c r="H68" s="2">
        <v>433</v>
      </c>
      <c r="I68" t="s">
        <v>32</v>
      </c>
      <c r="J68" s="3">
        <v>0.03</v>
      </c>
      <c r="K68" s="4">
        <f t="shared" si="4"/>
        <v>150</v>
      </c>
      <c r="L68" t="str">
        <f t="shared" si="5"/>
        <v>Abril</v>
      </c>
    </row>
    <row r="69" spans="1:12" x14ac:dyDescent="0.25">
      <c r="A69">
        <v>68</v>
      </c>
      <c r="B69" s="1">
        <v>45750</v>
      </c>
      <c r="C69" t="s">
        <v>10</v>
      </c>
      <c r="D69" t="s">
        <v>178</v>
      </c>
      <c r="E69" t="s">
        <v>20</v>
      </c>
      <c r="F69">
        <v>1</v>
      </c>
      <c r="G69" s="2">
        <v>250</v>
      </c>
      <c r="H69" s="2">
        <v>21.65</v>
      </c>
      <c r="I69" t="s">
        <v>32</v>
      </c>
      <c r="J69" s="3">
        <v>0.03</v>
      </c>
      <c r="K69" s="4">
        <f t="shared" si="4"/>
        <v>7.5</v>
      </c>
      <c r="L69" t="str">
        <f t="shared" si="5"/>
        <v>Abril</v>
      </c>
    </row>
    <row r="70" spans="1:12" x14ac:dyDescent="0.25">
      <c r="A70">
        <v>69</v>
      </c>
      <c r="B70" s="1">
        <v>45751</v>
      </c>
      <c r="C70" t="s">
        <v>10</v>
      </c>
      <c r="D70" t="s">
        <v>179</v>
      </c>
      <c r="E70" t="s">
        <v>14</v>
      </c>
      <c r="F70">
        <v>1</v>
      </c>
      <c r="G70" s="2">
        <v>250</v>
      </c>
      <c r="H70" s="2"/>
      <c r="I70" t="s">
        <v>32</v>
      </c>
      <c r="J70" s="3">
        <v>0.03</v>
      </c>
      <c r="K70" s="4">
        <f t="shared" si="4"/>
        <v>7.5</v>
      </c>
      <c r="L70" t="str">
        <f t="shared" si="5"/>
        <v>Abril</v>
      </c>
    </row>
    <row r="71" spans="1:12" x14ac:dyDescent="0.25">
      <c r="A71">
        <v>70</v>
      </c>
      <c r="B71" s="1">
        <v>45751</v>
      </c>
      <c r="C71" t="s">
        <v>10</v>
      </c>
      <c r="D71" t="s">
        <v>180</v>
      </c>
      <c r="E71" t="s">
        <v>15</v>
      </c>
      <c r="F71">
        <v>1</v>
      </c>
      <c r="G71" s="2">
        <v>180</v>
      </c>
      <c r="H71" s="2"/>
      <c r="I71" t="s">
        <v>32</v>
      </c>
      <c r="J71" s="3">
        <v>0.03</v>
      </c>
      <c r="K71" s="4">
        <f t="shared" si="4"/>
        <v>5.3999999999999995</v>
      </c>
      <c r="L71" t="str">
        <f t="shared" si="5"/>
        <v>Abril</v>
      </c>
    </row>
    <row r="72" spans="1:12" x14ac:dyDescent="0.25">
      <c r="A72">
        <v>71</v>
      </c>
      <c r="B72" s="1">
        <v>45751</v>
      </c>
      <c r="C72" t="s">
        <v>10</v>
      </c>
      <c r="D72" t="s">
        <v>180</v>
      </c>
      <c r="E72" t="s">
        <v>15</v>
      </c>
      <c r="F72">
        <v>1</v>
      </c>
      <c r="G72" s="2">
        <v>300</v>
      </c>
      <c r="H72" s="2"/>
      <c r="I72" t="s">
        <v>32</v>
      </c>
      <c r="J72" s="3">
        <v>0.03</v>
      </c>
      <c r="K72" s="4">
        <f t="shared" si="4"/>
        <v>9</v>
      </c>
      <c r="L72" t="str">
        <f t="shared" si="5"/>
        <v>Abril</v>
      </c>
    </row>
    <row r="73" spans="1:12" x14ac:dyDescent="0.25">
      <c r="A73">
        <v>72</v>
      </c>
      <c r="B73" s="1">
        <v>45754</v>
      </c>
      <c r="C73" t="s">
        <v>10</v>
      </c>
      <c r="D73" t="s">
        <v>73</v>
      </c>
      <c r="E73" t="s">
        <v>22</v>
      </c>
      <c r="F73">
        <v>1</v>
      </c>
      <c r="G73" s="2">
        <v>500</v>
      </c>
      <c r="H73" s="2"/>
      <c r="I73" t="s">
        <v>323</v>
      </c>
      <c r="J73" s="3">
        <v>0.03</v>
      </c>
      <c r="K73" s="4">
        <f t="shared" si="4"/>
        <v>15</v>
      </c>
      <c r="L73" t="str">
        <f t="shared" si="5"/>
        <v>Abril</v>
      </c>
    </row>
    <row r="74" spans="1:12" x14ac:dyDescent="0.25">
      <c r="A74">
        <v>73</v>
      </c>
      <c r="B74" s="1">
        <v>45754</v>
      </c>
      <c r="C74" t="s">
        <v>10</v>
      </c>
      <c r="D74" t="s">
        <v>103</v>
      </c>
      <c r="E74" t="s">
        <v>13</v>
      </c>
      <c r="F74">
        <v>1</v>
      </c>
      <c r="G74" s="2">
        <v>5000</v>
      </c>
      <c r="H74" s="2">
        <v>65.5</v>
      </c>
      <c r="I74" t="s">
        <v>32</v>
      </c>
      <c r="J74" s="3">
        <v>0.03</v>
      </c>
      <c r="K74" s="4">
        <f t="shared" si="4"/>
        <v>150</v>
      </c>
      <c r="L74" t="str">
        <f t="shared" si="5"/>
        <v>Abril</v>
      </c>
    </row>
    <row r="75" spans="1:12" x14ac:dyDescent="0.25">
      <c r="A75">
        <v>74</v>
      </c>
      <c r="B75" s="1">
        <v>45754</v>
      </c>
      <c r="C75" t="s">
        <v>10</v>
      </c>
      <c r="D75" t="s">
        <v>181</v>
      </c>
      <c r="E75" t="s">
        <v>23</v>
      </c>
      <c r="F75">
        <v>1</v>
      </c>
      <c r="G75" s="2">
        <v>590</v>
      </c>
      <c r="H75" s="2">
        <v>7.7290000000000001</v>
      </c>
      <c r="I75" t="s">
        <v>32</v>
      </c>
      <c r="J75" s="3">
        <v>0.03</v>
      </c>
      <c r="K75" s="4">
        <f t="shared" si="4"/>
        <v>17.7</v>
      </c>
      <c r="L75" t="str">
        <f t="shared" si="5"/>
        <v>Abril</v>
      </c>
    </row>
    <row r="76" spans="1:12" x14ac:dyDescent="0.25">
      <c r="A76">
        <v>75</v>
      </c>
      <c r="B76" s="1">
        <v>45754</v>
      </c>
      <c r="C76" t="s">
        <v>10</v>
      </c>
      <c r="D76" t="s">
        <v>182</v>
      </c>
      <c r="E76" t="s">
        <v>24</v>
      </c>
      <c r="F76">
        <v>1</v>
      </c>
      <c r="G76" s="2">
        <v>500</v>
      </c>
      <c r="H76" s="2"/>
      <c r="I76" t="s">
        <v>32</v>
      </c>
      <c r="J76" s="3">
        <v>0.03</v>
      </c>
      <c r="K76" s="4">
        <f t="shared" si="4"/>
        <v>15</v>
      </c>
      <c r="L76" t="str">
        <f t="shared" si="5"/>
        <v>Abril</v>
      </c>
    </row>
    <row r="77" spans="1:12" x14ac:dyDescent="0.25">
      <c r="A77">
        <v>76</v>
      </c>
      <c r="B77" s="1">
        <v>45754</v>
      </c>
      <c r="C77" t="s">
        <v>10</v>
      </c>
      <c r="D77" t="s">
        <v>91</v>
      </c>
      <c r="E77" t="s">
        <v>13</v>
      </c>
      <c r="F77">
        <v>1</v>
      </c>
      <c r="G77" s="2">
        <v>3000</v>
      </c>
      <c r="H77" s="2">
        <v>421.16699999999992</v>
      </c>
      <c r="I77" t="s">
        <v>32</v>
      </c>
      <c r="J77" s="3">
        <v>0.03</v>
      </c>
      <c r="K77" s="4">
        <f t="shared" si="4"/>
        <v>90</v>
      </c>
      <c r="L77" t="str">
        <f t="shared" si="5"/>
        <v>Abril</v>
      </c>
    </row>
    <row r="78" spans="1:12" x14ac:dyDescent="0.25">
      <c r="A78">
        <v>77</v>
      </c>
      <c r="B78" s="1">
        <v>45754</v>
      </c>
      <c r="C78" t="s">
        <v>10</v>
      </c>
      <c r="D78" t="s">
        <v>183</v>
      </c>
      <c r="E78" t="s">
        <v>20</v>
      </c>
      <c r="F78">
        <v>1</v>
      </c>
      <c r="G78" s="2">
        <v>500</v>
      </c>
      <c r="H78" s="2">
        <v>6.5500000000000114</v>
      </c>
      <c r="I78" t="s">
        <v>32</v>
      </c>
      <c r="J78" s="3">
        <v>0.03</v>
      </c>
      <c r="K78" s="4">
        <f t="shared" si="4"/>
        <v>15</v>
      </c>
      <c r="L78" t="str">
        <f t="shared" si="5"/>
        <v>Abril</v>
      </c>
    </row>
    <row r="79" spans="1:12" x14ac:dyDescent="0.25">
      <c r="A79">
        <v>78</v>
      </c>
      <c r="B79" s="1">
        <v>45755</v>
      </c>
      <c r="C79" t="s">
        <v>10</v>
      </c>
      <c r="D79" t="s">
        <v>99</v>
      </c>
      <c r="E79" t="s">
        <v>16</v>
      </c>
      <c r="F79">
        <v>1</v>
      </c>
      <c r="G79" s="2">
        <v>150</v>
      </c>
      <c r="H79" s="2"/>
      <c r="I79" t="s">
        <v>32</v>
      </c>
      <c r="J79" s="3">
        <v>0.03</v>
      </c>
      <c r="K79" s="4">
        <f t="shared" si="4"/>
        <v>4.5</v>
      </c>
      <c r="L79" t="str">
        <f t="shared" si="5"/>
        <v>Abril</v>
      </c>
    </row>
    <row r="80" spans="1:12" x14ac:dyDescent="0.25">
      <c r="A80">
        <v>79</v>
      </c>
      <c r="B80" s="1">
        <v>45755</v>
      </c>
      <c r="C80" t="s">
        <v>10</v>
      </c>
      <c r="D80" t="s">
        <v>184</v>
      </c>
      <c r="E80" t="s">
        <v>13</v>
      </c>
      <c r="F80">
        <v>1</v>
      </c>
      <c r="G80" s="2">
        <v>1000</v>
      </c>
      <c r="H80" s="2">
        <v>13.100000000000023</v>
      </c>
      <c r="I80" t="s">
        <v>32</v>
      </c>
      <c r="J80" s="3">
        <v>0.03</v>
      </c>
      <c r="K80" s="4">
        <f t="shared" si="4"/>
        <v>30</v>
      </c>
      <c r="L80" t="str">
        <f t="shared" si="5"/>
        <v>Abril</v>
      </c>
    </row>
    <row r="81" spans="1:12" x14ac:dyDescent="0.25">
      <c r="A81">
        <v>80</v>
      </c>
      <c r="B81" s="1">
        <v>45755</v>
      </c>
      <c r="C81" t="s">
        <v>10</v>
      </c>
      <c r="D81" t="s">
        <v>102</v>
      </c>
      <c r="E81" t="s">
        <v>25</v>
      </c>
      <c r="F81">
        <v>1</v>
      </c>
      <c r="G81" s="2">
        <v>1000</v>
      </c>
      <c r="H81" s="2">
        <v>13.1</v>
      </c>
      <c r="I81" t="s">
        <v>32</v>
      </c>
      <c r="J81" s="3">
        <v>0.03</v>
      </c>
      <c r="K81" s="4">
        <f t="shared" si="4"/>
        <v>30</v>
      </c>
      <c r="L81" t="str">
        <f t="shared" si="5"/>
        <v>Abril</v>
      </c>
    </row>
    <row r="82" spans="1:12" x14ac:dyDescent="0.25">
      <c r="A82">
        <v>81</v>
      </c>
      <c r="B82" s="1">
        <v>45755</v>
      </c>
      <c r="C82" t="s">
        <v>10</v>
      </c>
      <c r="D82" t="s">
        <v>72</v>
      </c>
      <c r="E82" t="s">
        <v>26</v>
      </c>
      <c r="F82">
        <v>1</v>
      </c>
      <c r="G82" s="2">
        <v>200</v>
      </c>
      <c r="H82" s="2"/>
      <c r="I82" t="s">
        <v>32</v>
      </c>
      <c r="J82" s="3">
        <v>0.03</v>
      </c>
      <c r="K82" s="4">
        <f t="shared" si="4"/>
        <v>6</v>
      </c>
      <c r="L82" t="str">
        <f t="shared" si="5"/>
        <v>Abril</v>
      </c>
    </row>
    <row r="83" spans="1:12" x14ac:dyDescent="0.25">
      <c r="A83">
        <v>82</v>
      </c>
      <c r="B83" s="1">
        <v>45755</v>
      </c>
      <c r="C83" t="s">
        <v>10</v>
      </c>
      <c r="D83" t="s">
        <v>112</v>
      </c>
      <c r="E83" t="s">
        <v>27</v>
      </c>
      <c r="F83">
        <v>1</v>
      </c>
      <c r="G83" s="2">
        <v>1500</v>
      </c>
      <c r="H83" s="2">
        <v>19.649999999999999</v>
      </c>
      <c r="I83" t="s">
        <v>32</v>
      </c>
      <c r="J83" s="3">
        <v>0.03</v>
      </c>
      <c r="K83" s="4">
        <f t="shared" si="4"/>
        <v>45</v>
      </c>
      <c r="L83" t="str">
        <f t="shared" si="5"/>
        <v>Abril</v>
      </c>
    </row>
    <row r="84" spans="1:12" x14ac:dyDescent="0.25">
      <c r="A84">
        <v>83</v>
      </c>
      <c r="B84" s="1">
        <v>45755</v>
      </c>
      <c r="C84" t="s">
        <v>10</v>
      </c>
      <c r="D84" t="s">
        <v>185</v>
      </c>
      <c r="E84" t="s">
        <v>11</v>
      </c>
      <c r="F84">
        <v>1</v>
      </c>
      <c r="G84" s="2">
        <v>840</v>
      </c>
      <c r="H84" s="2">
        <v>64.110000000000014</v>
      </c>
      <c r="I84" t="s">
        <v>32</v>
      </c>
      <c r="J84" s="3">
        <v>0.03</v>
      </c>
      <c r="K84" s="4">
        <f t="shared" si="4"/>
        <v>25.2</v>
      </c>
      <c r="L84" t="str">
        <f t="shared" si="5"/>
        <v>Abril</v>
      </c>
    </row>
    <row r="85" spans="1:12" x14ac:dyDescent="0.25">
      <c r="A85">
        <v>84</v>
      </c>
      <c r="B85" s="1">
        <v>45756</v>
      </c>
      <c r="C85" t="s">
        <v>10</v>
      </c>
      <c r="D85" t="s">
        <v>180</v>
      </c>
      <c r="E85" t="s">
        <v>15</v>
      </c>
      <c r="F85">
        <v>1</v>
      </c>
      <c r="G85" s="2">
        <v>570</v>
      </c>
      <c r="H85" s="2"/>
      <c r="I85" t="s">
        <v>32</v>
      </c>
      <c r="J85" s="3">
        <v>0.03</v>
      </c>
      <c r="K85" s="4">
        <f t="shared" si="4"/>
        <v>17.099999999999998</v>
      </c>
      <c r="L85" t="str">
        <f t="shared" si="5"/>
        <v>Abril</v>
      </c>
    </row>
    <row r="86" spans="1:12" x14ac:dyDescent="0.25">
      <c r="A86">
        <v>85</v>
      </c>
      <c r="B86" s="1">
        <v>45757</v>
      </c>
      <c r="C86" t="s">
        <v>10</v>
      </c>
      <c r="D86" t="s">
        <v>61</v>
      </c>
      <c r="E86" t="s">
        <v>13</v>
      </c>
      <c r="F86">
        <v>1</v>
      </c>
      <c r="G86" s="2">
        <v>1000</v>
      </c>
      <c r="H86" s="2"/>
      <c r="I86" t="s">
        <v>32</v>
      </c>
      <c r="J86" s="3">
        <v>0.03</v>
      </c>
      <c r="K86" s="4">
        <f t="shared" si="4"/>
        <v>30</v>
      </c>
      <c r="L86" t="str">
        <f t="shared" si="5"/>
        <v>Abril</v>
      </c>
    </row>
    <row r="87" spans="1:12" x14ac:dyDescent="0.25">
      <c r="A87">
        <v>86</v>
      </c>
      <c r="B87" s="1">
        <v>45757</v>
      </c>
      <c r="C87" t="s">
        <v>10</v>
      </c>
      <c r="D87" t="s">
        <v>186</v>
      </c>
      <c r="E87" t="s">
        <v>16</v>
      </c>
      <c r="F87">
        <v>1</v>
      </c>
      <c r="G87" s="2">
        <v>150</v>
      </c>
      <c r="H87" s="2">
        <v>6.6750000000000114</v>
      </c>
      <c r="I87" t="s">
        <v>32</v>
      </c>
      <c r="J87" s="3">
        <v>0.03</v>
      </c>
      <c r="K87" s="4">
        <f t="shared" si="4"/>
        <v>4.5</v>
      </c>
      <c r="L87" t="str">
        <f t="shared" si="5"/>
        <v>Abril</v>
      </c>
    </row>
    <row r="88" spans="1:12" x14ac:dyDescent="0.25">
      <c r="A88">
        <v>87</v>
      </c>
      <c r="B88" s="1">
        <v>45757</v>
      </c>
      <c r="C88" t="s">
        <v>10</v>
      </c>
      <c r="D88" t="s">
        <v>182</v>
      </c>
      <c r="E88" t="s">
        <v>13</v>
      </c>
      <c r="F88">
        <v>1</v>
      </c>
      <c r="G88" s="2">
        <v>3000</v>
      </c>
      <c r="H88" s="2"/>
      <c r="I88" t="s">
        <v>32</v>
      </c>
      <c r="J88" s="3">
        <v>0.03</v>
      </c>
      <c r="K88" s="4">
        <f t="shared" si="4"/>
        <v>90</v>
      </c>
      <c r="L88" t="str">
        <f t="shared" si="5"/>
        <v>Abril</v>
      </c>
    </row>
    <row r="89" spans="1:12" x14ac:dyDescent="0.25">
      <c r="A89">
        <v>88</v>
      </c>
      <c r="B89" s="1">
        <v>45757</v>
      </c>
      <c r="C89" t="s">
        <v>10</v>
      </c>
      <c r="D89" t="s">
        <v>187</v>
      </c>
      <c r="E89" t="s">
        <v>16</v>
      </c>
      <c r="F89">
        <v>1</v>
      </c>
      <c r="G89" s="2">
        <v>580</v>
      </c>
      <c r="H89" s="2">
        <v>7.9580000000000002</v>
      </c>
      <c r="I89" t="s">
        <v>32</v>
      </c>
      <c r="J89" s="3">
        <v>0.03</v>
      </c>
      <c r="K89" s="4">
        <f t="shared" si="4"/>
        <v>17.399999999999999</v>
      </c>
      <c r="L89" t="str">
        <f t="shared" si="5"/>
        <v>Abril</v>
      </c>
    </row>
    <row r="90" spans="1:12" x14ac:dyDescent="0.25">
      <c r="A90">
        <v>89</v>
      </c>
      <c r="B90" s="1">
        <v>45757</v>
      </c>
      <c r="C90" t="s">
        <v>10</v>
      </c>
      <c r="D90" t="s">
        <v>188</v>
      </c>
      <c r="E90" t="s">
        <v>13</v>
      </c>
      <c r="F90">
        <v>1</v>
      </c>
      <c r="G90" s="2">
        <v>5000</v>
      </c>
      <c r="H90" s="2">
        <v>702.28399999999965</v>
      </c>
      <c r="I90" t="s">
        <v>32</v>
      </c>
      <c r="J90" s="3">
        <v>0.03</v>
      </c>
      <c r="K90" s="4">
        <f t="shared" si="4"/>
        <v>150</v>
      </c>
      <c r="L90" t="str">
        <f t="shared" si="5"/>
        <v>Abril</v>
      </c>
    </row>
    <row r="91" spans="1:12" x14ac:dyDescent="0.25">
      <c r="A91">
        <v>90</v>
      </c>
      <c r="B91" s="1">
        <v>45757</v>
      </c>
      <c r="C91" t="s">
        <v>10</v>
      </c>
      <c r="D91" t="s">
        <v>167</v>
      </c>
      <c r="E91" t="s">
        <v>13</v>
      </c>
      <c r="F91">
        <v>1</v>
      </c>
      <c r="G91" s="2">
        <v>5000</v>
      </c>
      <c r="H91" s="2">
        <v>65.5</v>
      </c>
      <c r="I91" t="s">
        <v>32</v>
      </c>
      <c r="J91" s="3">
        <v>0.03</v>
      </c>
      <c r="K91" s="4">
        <f t="shared" si="4"/>
        <v>150</v>
      </c>
      <c r="L91" t="str">
        <f t="shared" si="5"/>
        <v>Abril</v>
      </c>
    </row>
    <row r="92" spans="1:12" x14ac:dyDescent="0.25">
      <c r="A92">
        <v>91</v>
      </c>
      <c r="B92" s="1">
        <v>45757</v>
      </c>
      <c r="C92" t="s">
        <v>10</v>
      </c>
      <c r="D92" t="s">
        <v>189</v>
      </c>
      <c r="E92" t="s">
        <v>23</v>
      </c>
      <c r="F92">
        <v>1</v>
      </c>
      <c r="G92" s="2">
        <v>590</v>
      </c>
      <c r="H92" s="2">
        <v>26.251999999999953</v>
      </c>
      <c r="I92" t="s">
        <v>32</v>
      </c>
      <c r="J92" s="3">
        <v>0.03</v>
      </c>
      <c r="K92" s="4">
        <f t="shared" si="4"/>
        <v>17.7</v>
      </c>
      <c r="L92" t="str">
        <f t="shared" si="5"/>
        <v>Abril</v>
      </c>
    </row>
    <row r="93" spans="1:12" x14ac:dyDescent="0.25">
      <c r="A93">
        <v>92</v>
      </c>
      <c r="B93" s="1">
        <v>45757</v>
      </c>
      <c r="C93" t="s">
        <v>10</v>
      </c>
      <c r="D93" t="s">
        <v>190</v>
      </c>
      <c r="E93" t="s">
        <v>20</v>
      </c>
      <c r="F93">
        <v>1</v>
      </c>
      <c r="G93" s="2">
        <v>350</v>
      </c>
      <c r="H93" s="2"/>
      <c r="I93" t="s">
        <v>32</v>
      </c>
      <c r="J93" s="3">
        <v>0.03</v>
      </c>
      <c r="K93" s="4">
        <f t="shared" si="4"/>
        <v>10.5</v>
      </c>
      <c r="L93" t="str">
        <f t="shared" si="5"/>
        <v>Abril</v>
      </c>
    </row>
    <row r="94" spans="1:12" x14ac:dyDescent="0.25">
      <c r="A94">
        <v>93</v>
      </c>
      <c r="B94" s="1">
        <v>45757</v>
      </c>
      <c r="C94" t="s">
        <v>10</v>
      </c>
      <c r="D94" t="s">
        <v>191</v>
      </c>
      <c r="E94" t="s">
        <v>13</v>
      </c>
      <c r="F94">
        <v>1</v>
      </c>
      <c r="G94" s="2">
        <v>500</v>
      </c>
      <c r="H94" s="2"/>
      <c r="I94" t="s">
        <v>323</v>
      </c>
      <c r="J94" s="3">
        <v>0.03</v>
      </c>
      <c r="K94" s="4">
        <f t="shared" si="4"/>
        <v>15</v>
      </c>
      <c r="L94" t="str">
        <f t="shared" si="5"/>
        <v>Abril</v>
      </c>
    </row>
    <row r="95" spans="1:12" x14ac:dyDescent="0.25">
      <c r="A95">
        <v>94</v>
      </c>
      <c r="B95" s="1">
        <v>45757</v>
      </c>
      <c r="C95" t="s">
        <v>10</v>
      </c>
      <c r="D95" t="s">
        <v>189</v>
      </c>
      <c r="E95" t="s">
        <v>21</v>
      </c>
      <c r="F95">
        <v>1</v>
      </c>
      <c r="G95" s="2">
        <v>4300</v>
      </c>
      <c r="H95" s="2">
        <v>284.66699999999992</v>
      </c>
      <c r="I95" t="s">
        <v>32</v>
      </c>
      <c r="J95" s="3">
        <v>0.03</v>
      </c>
      <c r="K95" s="4">
        <f t="shared" si="4"/>
        <v>129</v>
      </c>
      <c r="L95" t="str">
        <f t="shared" si="5"/>
        <v>Abril</v>
      </c>
    </row>
    <row r="96" spans="1:12" x14ac:dyDescent="0.25">
      <c r="A96">
        <v>95</v>
      </c>
      <c r="B96" s="1">
        <v>45758</v>
      </c>
      <c r="C96" t="s">
        <v>10</v>
      </c>
      <c r="D96" t="s">
        <v>73</v>
      </c>
      <c r="E96" t="s">
        <v>13</v>
      </c>
      <c r="F96">
        <v>1</v>
      </c>
      <c r="G96" s="2">
        <v>700</v>
      </c>
      <c r="H96" s="2"/>
      <c r="I96" t="s">
        <v>32</v>
      </c>
      <c r="J96" s="3">
        <v>0.03</v>
      </c>
      <c r="K96" s="4">
        <f t="shared" si="4"/>
        <v>21</v>
      </c>
      <c r="L96" t="str">
        <f t="shared" si="5"/>
        <v>Abril</v>
      </c>
    </row>
    <row r="97" spans="1:12" x14ac:dyDescent="0.25">
      <c r="A97">
        <v>96</v>
      </c>
      <c r="B97" s="1">
        <v>45758</v>
      </c>
      <c r="C97" t="s">
        <v>10</v>
      </c>
      <c r="D97" t="s">
        <v>73</v>
      </c>
      <c r="E97" t="s">
        <v>28</v>
      </c>
      <c r="F97">
        <v>1</v>
      </c>
      <c r="G97" s="2">
        <v>2500</v>
      </c>
      <c r="H97" s="2"/>
      <c r="I97" t="s">
        <v>32</v>
      </c>
      <c r="J97" s="3">
        <v>0.03</v>
      </c>
      <c r="K97" s="4">
        <f t="shared" si="4"/>
        <v>75</v>
      </c>
      <c r="L97" t="str">
        <f t="shared" si="5"/>
        <v>Abril</v>
      </c>
    </row>
    <row r="98" spans="1:12" x14ac:dyDescent="0.25">
      <c r="A98">
        <v>97</v>
      </c>
      <c r="B98" s="1">
        <v>45758</v>
      </c>
      <c r="C98" t="s">
        <v>10</v>
      </c>
      <c r="D98" t="s">
        <v>192</v>
      </c>
      <c r="E98" t="s">
        <v>13</v>
      </c>
      <c r="F98">
        <v>1</v>
      </c>
      <c r="G98" s="2">
        <v>900</v>
      </c>
      <c r="H98" s="2">
        <v>11.789999999999964</v>
      </c>
      <c r="I98" t="s">
        <v>32</v>
      </c>
      <c r="J98" s="3">
        <v>0.03</v>
      </c>
      <c r="K98" s="4">
        <f t="shared" si="4"/>
        <v>27</v>
      </c>
      <c r="L98" t="str">
        <f t="shared" si="5"/>
        <v>Abril</v>
      </c>
    </row>
    <row r="99" spans="1:12" x14ac:dyDescent="0.25">
      <c r="A99">
        <v>98</v>
      </c>
      <c r="B99" s="1">
        <v>45758</v>
      </c>
      <c r="C99" t="s">
        <v>10</v>
      </c>
      <c r="D99" t="s">
        <v>193</v>
      </c>
      <c r="E99" t="s">
        <v>13</v>
      </c>
      <c r="F99">
        <v>1</v>
      </c>
      <c r="G99" s="2">
        <v>5000</v>
      </c>
      <c r="H99" s="2">
        <v>797.48599999999988</v>
      </c>
      <c r="I99" t="s">
        <v>32</v>
      </c>
      <c r="J99" s="3">
        <v>0.03</v>
      </c>
      <c r="K99" s="4">
        <f t="shared" si="4"/>
        <v>150</v>
      </c>
      <c r="L99" t="str">
        <f t="shared" si="5"/>
        <v>Abril</v>
      </c>
    </row>
    <row r="100" spans="1:12" x14ac:dyDescent="0.25">
      <c r="A100">
        <v>99</v>
      </c>
      <c r="B100" s="1">
        <v>45761</v>
      </c>
      <c r="C100" t="s">
        <v>10</v>
      </c>
      <c r="D100" t="s">
        <v>194</v>
      </c>
      <c r="E100" t="s">
        <v>29</v>
      </c>
      <c r="F100">
        <v>1</v>
      </c>
      <c r="G100" s="2">
        <v>3000</v>
      </c>
      <c r="H100" s="2">
        <v>290.35500000000002</v>
      </c>
      <c r="I100" t="s">
        <v>32</v>
      </c>
      <c r="J100" s="3">
        <v>0.03</v>
      </c>
      <c r="K100" s="4">
        <f t="shared" si="4"/>
        <v>90</v>
      </c>
      <c r="L100" t="str">
        <f t="shared" si="5"/>
        <v>Abril</v>
      </c>
    </row>
    <row r="101" spans="1:12" x14ac:dyDescent="0.25">
      <c r="A101">
        <v>100</v>
      </c>
      <c r="B101" s="1">
        <v>45762</v>
      </c>
      <c r="C101" t="s">
        <v>10</v>
      </c>
      <c r="D101" t="s">
        <v>195</v>
      </c>
      <c r="E101" t="s">
        <v>11</v>
      </c>
      <c r="F101">
        <v>1</v>
      </c>
      <c r="G101" s="2">
        <v>590</v>
      </c>
      <c r="H101" s="2"/>
      <c r="I101" t="s">
        <v>32</v>
      </c>
      <c r="J101" s="3">
        <v>0.03</v>
      </c>
      <c r="K101" s="4">
        <f t="shared" si="4"/>
        <v>17.7</v>
      </c>
      <c r="L101" t="str">
        <f t="shared" si="5"/>
        <v>Abril</v>
      </c>
    </row>
    <row r="102" spans="1:12" x14ac:dyDescent="0.25">
      <c r="A102">
        <v>101</v>
      </c>
      <c r="B102" s="1">
        <v>45762</v>
      </c>
      <c r="C102" t="s">
        <v>10</v>
      </c>
      <c r="D102" t="s">
        <v>196</v>
      </c>
      <c r="E102" t="s">
        <v>11</v>
      </c>
      <c r="F102">
        <v>1</v>
      </c>
      <c r="G102" s="2">
        <v>590</v>
      </c>
      <c r="H102" s="2">
        <v>39.059999999999945</v>
      </c>
      <c r="I102" t="s">
        <v>32</v>
      </c>
      <c r="J102" s="3">
        <v>0.03</v>
      </c>
      <c r="K102" s="4">
        <f t="shared" si="4"/>
        <v>17.7</v>
      </c>
      <c r="L102" t="str">
        <f t="shared" si="5"/>
        <v>Abril</v>
      </c>
    </row>
    <row r="103" spans="1:12" x14ac:dyDescent="0.25">
      <c r="A103">
        <v>102</v>
      </c>
      <c r="B103" s="1">
        <v>45762</v>
      </c>
      <c r="C103" t="s">
        <v>10</v>
      </c>
      <c r="D103" t="s">
        <v>197</v>
      </c>
      <c r="E103" t="s">
        <v>19</v>
      </c>
      <c r="F103">
        <v>1</v>
      </c>
      <c r="G103" s="2">
        <v>500</v>
      </c>
      <c r="H103" s="2"/>
      <c r="I103" t="s">
        <v>32</v>
      </c>
      <c r="J103" s="3">
        <v>0.03</v>
      </c>
      <c r="K103" s="4">
        <f t="shared" si="4"/>
        <v>15</v>
      </c>
      <c r="L103" t="str">
        <f t="shared" si="5"/>
        <v>Abril</v>
      </c>
    </row>
    <row r="104" spans="1:12" x14ac:dyDescent="0.25">
      <c r="A104">
        <v>103</v>
      </c>
      <c r="B104" s="1">
        <v>45762</v>
      </c>
      <c r="C104" t="s">
        <v>10</v>
      </c>
      <c r="D104" t="s">
        <v>198</v>
      </c>
      <c r="E104" t="s">
        <v>21</v>
      </c>
      <c r="F104">
        <v>1</v>
      </c>
      <c r="G104" s="2">
        <v>3000</v>
      </c>
      <c r="H104" s="2">
        <v>482.39899999999989</v>
      </c>
      <c r="I104" t="s">
        <v>32</v>
      </c>
      <c r="J104" s="3">
        <v>0.03</v>
      </c>
      <c r="K104" s="4">
        <f t="shared" si="4"/>
        <v>90</v>
      </c>
      <c r="L104" t="str">
        <f t="shared" si="5"/>
        <v>Abril</v>
      </c>
    </row>
    <row r="105" spans="1:12" x14ac:dyDescent="0.25">
      <c r="A105">
        <v>104</v>
      </c>
      <c r="B105" s="1">
        <v>45762</v>
      </c>
      <c r="C105" t="s">
        <v>10</v>
      </c>
      <c r="D105" t="s">
        <v>198</v>
      </c>
      <c r="E105" t="s">
        <v>21</v>
      </c>
      <c r="F105">
        <v>1</v>
      </c>
      <c r="G105" s="2">
        <v>2000</v>
      </c>
      <c r="H105" s="2">
        <v>321.60400000000004</v>
      </c>
      <c r="I105" t="s">
        <v>32</v>
      </c>
      <c r="J105" s="3">
        <v>0.03</v>
      </c>
      <c r="K105" s="4">
        <f t="shared" si="4"/>
        <v>60</v>
      </c>
      <c r="L105" t="str">
        <f t="shared" si="5"/>
        <v>Abril</v>
      </c>
    </row>
    <row r="106" spans="1:12" x14ac:dyDescent="0.25">
      <c r="A106">
        <v>105</v>
      </c>
      <c r="B106" s="1">
        <v>45762</v>
      </c>
      <c r="C106" t="s">
        <v>10</v>
      </c>
      <c r="D106" t="s">
        <v>199</v>
      </c>
      <c r="E106" t="s">
        <v>11</v>
      </c>
      <c r="F106">
        <v>1</v>
      </c>
      <c r="G106" s="2">
        <v>590</v>
      </c>
      <c r="H106" s="2">
        <v>39.059999999999945</v>
      </c>
      <c r="I106" t="s">
        <v>32</v>
      </c>
      <c r="J106" s="3">
        <v>0.03</v>
      </c>
      <c r="K106" s="4">
        <f t="shared" si="4"/>
        <v>17.7</v>
      </c>
      <c r="L106" t="str">
        <f t="shared" si="5"/>
        <v>Abril</v>
      </c>
    </row>
    <row r="107" spans="1:12" x14ac:dyDescent="0.25">
      <c r="A107">
        <v>106</v>
      </c>
      <c r="B107" s="1">
        <v>45762</v>
      </c>
      <c r="C107" t="s">
        <v>10</v>
      </c>
      <c r="D107" t="s">
        <v>200</v>
      </c>
      <c r="E107" t="s">
        <v>23</v>
      </c>
      <c r="F107">
        <v>1</v>
      </c>
      <c r="G107" s="2">
        <v>590</v>
      </c>
      <c r="H107" s="2"/>
      <c r="I107" t="s">
        <v>32</v>
      </c>
      <c r="J107" s="3">
        <v>0.03</v>
      </c>
      <c r="K107" s="4">
        <f t="shared" si="4"/>
        <v>17.7</v>
      </c>
      <c r="L107" t="str">
        <f t="shared" si="5"/>
        <v>Abril</v>
      </c>
    </row>
    <row r="108" spans="1:12" x14ac:dyDescent="0.25">
      <c r="A108">
        <v>107</v>
      </c>
      <c r="B108" s="1">
        <v>45762</v>
      </c>
      <c r="C108" t="s">
        <v>10</v>
      </c>
      <c r="D108" t="s">
        <v>80</v>
      </c>
      <c r="E108" t="s">
        <v>13</v>
      </c>
      <c r="F108">
        <v>1</v>
      </c>
      <c r="G108" s="2">
        <v>600</v>
      </c>
      <c r="H108" s="2">
        <v>7.8600000000000136</v>
      </c>
      <c r="I108" t="s">
        <v>32</v>
      </c>
      <c r="J108" s="3">
        <v>0.03</v>
      </c>
      <c r="K108" s="4">
        <f t="shared" si="4"/>
        <v>18</v>
      </c>
      <c r="L108" t="str">
        <f t="shared" si="5"/>
        <v>Abril</v>
      </c>
    </row>
    <row r="109" spans="1:12" x14ac:dyDescent="0.25">
      <c r="A109">
        <v>108</v>
      </c>
      <c r="B109" s="1">
        <v>45762</v>
      </c>
      <c r="C109" t="s">
        <v>10</v>
      </c>
      <c r="D109" t="s">
        <v>201</v>
      </c>
      <c r="E109" t="s">
        <v>13</v>
      </c>
      <c r="F109">
        <v>1</v>
      </c>
      <c r="G109" s="2">
        <v>700</v>
      </c>
      <c r="H109" s="2">
        <v>39.340000000000032</v>
      </c>
      <c r="I109" t="s">
        <v>32</v>
      </c>
      <c r="J109" s="3">
        <v>0.03</v>
      </c>
      <c r="K109" s="4">
        <f t="shared" si="4"/>
        <v>21</v>
      </c>
      <c r="L109" t="str">
        <f t="shared" si="5"/>
        <v>Abril</v>
      </c>
    </row>
    <row r="110" spans="1:12" x14ac:dyDescent="0.25">
      <c r="A110">
        <v>109</v>
      </c>
      <c r="B110" s="1">
        <v>45762</v>
      </c>
      <c r="C110" t="s">
        <v>10</v>
      </c>
      <c r="D110" t="s">
        <v>57</v>
      </c>
      <c r="E110" t="s">
        <v>11</v>
      </c>
      <c r="F110">
        <v>1</v>
      </c>
      <c r="G110" s="2">
        <v>590</v>
      </c>
      <c r="H110" s="2">
        <v>33.159999999999968</v>
      </c>
      <c r="I110" t="s">
        <v>32</v>
      </c>
      <c r="J110" s="3">
        <v>0.03</v>
      </c>
      <c r="K110" s="4">
        <f t="shared" si="4"/>
        <v>17.7</v>
      </c>
      <c r="L110" t="str">
        <f t="shared" si="5"/>
        <v>Abril</v>
      </c>
    </row>
    <row r="111" spans="1:12" x14ac:dyDescent="0.25">
      <c r="A111">
        <v>110</v>
      </c>
      <c r="B111" s="1">
        <v>45762</v>
      </c>
      <c r="C111" t="s">
        <v>10</v>
      </c>
      <c r="D111" t="s">
        <v>91</v>
      </c>
      <c r="E111" t="s">
        <v>11</v>
      </c>
      <c r="F111">
        <v>1</v>
      </c>
      <c r="G111" s="2">
        <v>590</v>
      </c>
      <c r="H111" s="2">
        <v>7.7300000000000182</v>
      </c>
      <c r="I111" t="s">
        <v>32</v>
      </c>
      <c r="J111" s="3">
        <v>0.03</v>
      </c>
      <c r="K111" s="4">
        <f t="shared" ref="K111:K155" si="6">G111*J111</f>
        <v>17.7</v>
      </c>
      <c r="L111" t="str">
        <f t="shared" si="5"/>
        <v>Abril</v>
      </c>
    </row>
    <row r="112" spans="1:12" x14ac:dyDescent="0.25">
      <c r="A112">
        <v>111</v>
      </c>
      <c r="B112" s="1">
        <v>45762</v>
      </c>
      <c r="C112" t="s">
        <v>10</v>
      </c>
      <c r="D112" t="s">
        <v>106</v>
      </c>
      <c r="E112" t="s">
        <v>13</v>
      </c>
      <c r="F112">
        <v>1</v>
      </c>
      <c r="G112" s="2">
        <v>500</v>
      </c>
      <c r="H112" s="2"/>
      <c r="I112" t="s">
        <v>323</v>
      </c>
      <c r="J112" s="3">
        <v>0.03</v>
      </c>
      <c r="K112" s="4">
        <f t="shared" si="6"/>
        <v>15</v>
      </c>
      <c r="L112" t="str">
        <f t="shared" si="5"/>
        <v>Abril</v>
      </c>
    </row>
    <row r="113" spans="1:12" x14ac:dyDescent="0.25">
      <c r="A113">
        <v>112</v>
      </c>
      <c r="B113" s="1">
        <v>45762</v>
      </c>
      <c r="C113" t="s">
        <v>10</v>
      </c>
      <c r="D113" t="s">
        <v>202</v>
      </c>
      <c r="E113" t="s">
        <v>13</v>
      </c>
      <c r="F113">
        <v>1</v>
      </c>
      <c r="G113" s="2">
        <v>600</v>
      </c>
      <c r="H113" s="2"/>
      <c r="I113" t="s">
        <v>32</v>
      </c>
      <c r="J113" s="3">
        <v>0.03</v>
      </c>
      <c r="K113" s="4">
        <f t="shared" si="6"/>
        <v>18</v>
      </c>
      <c r="L113" t="str">
        <f t="shared" si="5"/>
        <v>Abril</v>
      </c>
    </row>
    <row r="114" spans="1:12" x14ac:dyDescent="0.25">
      <c r="A114">
        <v>113</v>
      </c>
      <c r="B114" s="1">
        <v>45763</v>
      </c>
      <c r="C114" t="s">
        <v>38</v>
      </c>
      <c r="D114" t="s">
        <v>104</v>
      </c>
      <c r="E114" t="s">
        <v>13</v>
      </c>
      <c r="F114">
        <v>1</v>
      </c>
      <c r="G114" s="2">
        <v>500</v>
      </c>
      <c r="H114" s="2"/>
      <c r="I114" t="s">
        <v>32</v>
      </c>
      <c r="J114" s="3">
        <v>0.03</v>
      </c>
      <c r="K114" s="4">
        <f t="shared" ref="K114:K116" si="7">G114*J114</f>
        <v>15</v>
      </c>
      <c r="L114" t="str">
        <f t="shared" si="5"/>
        <v>Abril</v>
      </c>
    </row>
    <row r="115" spans="1:12" x14ac:dyDescent="0.25">
      <c r="A115">
        <v>114</v>
      </c>
      <c r="B115" s="1">
        <v>45763</v>
      </c>
      <c r="C115" t="s">
        <v>38</v>
      </c>
      <c r="D115" t="s">
        <v>224</v>
      </c>
      <c r="E115" t="s">
        <v>12</v>
      </c>
      <c r="F115">
        <v>1</v>
      </c>
      <c r="G115" s="2">
        <v>2000</v>
      </c>
      <c r="H115" s="2">
        <v>26.2</v>
      </c>
      <c r="I115" t="s">
        <v>32</v>
      </c>
      <c r="J115" s="3">
        <v>0.03</v>
      </c>
      <c r="K115" s="4">
        <f t="shared" si="7"/>
        <v>60</v>
      </c>
      <c r="L115" t="str">
        <f t="shared" si="5"/>
        <v>Abril</v>
      </c>
    </row>
    <row r="116" spans="1:12" x14ac:dyDescent="0.25">
      <c r="A116">
        <v>115</v>
      </c>
      <c r="B116" s="1">
        <v>45763</v>
      </c>
      <c r="C116" t="s">
        <v>38</v>
      </c>
      <c r="D116" t="s">
        <v>224</v>
      </c>
      <c r="E116" t="s">
        <v>11</v>
      </c>
      <c r="F116">
        <v>1</v>
      </c>
      <c r="G116" s="2">
        <v>1500</v>
      </c>
      <c r="H116" s="2"/>
      <c r="I116" t="s">
        <v>32</v>
      </c>
      <c r="J116" s="3">
        <v>0.03</v>
      </c>
      <c r="K116" s="4">
        <f t="shared" si="7"/>
        <v>45</v>
      </c>
      <c r="L116" t="str">
        <f t="shared" si="5"/>
        <v>Abril</v>
      </c>
    </row>
    <row r="117" spans="1:12" x14ac:dyDescent="0.25">
      <c r="A117">
        <v>116</v>
      </c>
      <c r="B117" s="1">
        <v>45764</v>
      </c>
      <c r="C117" t="s">
        <v>10</v>
      </c>
      <c r="D117" t="s">
        <v>203</v>
      </c>
      <c r="E117" t="s">
        <v>11</v>
      </c>
      <c r="F117">
        <v>1</v>
      </c>
      <c r="G117" s="2">
        <v>590</v>
      </c>
      <c r="H117" s="2"/>
      <c r="I117" t="s">
        <v>32</v>
      </c>
      <c r="J117" s="3">
        <v>0.03</v>
      </c>
      <c r="K117" s="4">
        <f t="shared" si="6"/>
        <v>17.7</v>
      </c>
      <c r="L117" t="str">
        <f t="shared" si="5"/>
        <v>Abril</v>
      </c>
    </row>
    <row r="118" spans="1:12" x14ac:dyDescent="0.25">
      <c r="A118">
        <v>117</v>
      </c>
      <c r="B118" s="1">
        <v>45764</v>
      </c>
      <c r="C118" t="s">
        <v>10</v>
      </c>
      <c r="D118" t="s">
        <v>64</v>
      </c>
      <c r="E118" t="s">
        <v>13</v>
      </c>
      <c r="F118">
        <v>1</v>
      </c>
      <c r="G118" s="2">
        <v>1400</v>
      </c>
      <c r="H118" s="2"/>
      <c r="I118" t="s">
        <v>32</v>
      </c>
      <c r="J118" s="3">
        <v>0.03</v>
      </c>
      <c r="K118" s="4">
        <f t="shared" si="6"/>
        <v>42</v>
      </c>
      <c r="L118" t="str">
        <f t="shared" si="5"/>
        <v>Abril</v>
      </c>
    </row>
    <row r="119" spans="1:12" x14ac:dyDescent="0.25">
      <c r="A119">
        <v>118</v>
      </c>
      <c r="B119" s="1">
        <v>45764</v>
      </c>
      <c r="C119" t="s">
        <v>10</v>
      </c>
      <c r="D119" t="s">
        <v>204</v>
      </c>
      <c r="E119" t="s">
        <v>30</v>
      </c>
      <c r="F119">
        <v>1</v>
      </c>
      <c r="G119" s="2">
        <v>4000</v>
      </c>
      <c r="H119" s="2"/>
      <c r="I119" t="s">
        <v>32</v>
      </c>
      <c r="J119" s="3">
        <v>0.03</v>
      </c>
      <c r="K119" s="4">
        <f t="shared" si="6"/>
        <v>120</v>
      </c>
      <c r="L119" t="str">
        <f t="shared" si="5"/>
        <v>Abril</v>
      </c>
    </row>
    <row r="120" spans="1:12" x14ac:dyDescent="0.25">
      <c r="A120">
        <v>119</v>
      </c>
      <c r="B120" s="1">
        <v>45764</v>
      </c>
      <c r="C120" t="s">
        <v>10</v>
      </c>
      <c r="D120" t="s">
        <v>205</v>
      </c>
      <c r="E120" t="s">
        <v>31</v>
      </c>
      <c r="F120">
        <v>1</v>
      </c>
      <c r="G120" s="2">
        <v>1500</v>
      </c>
      <c r="H120" s="2">
        <v>206.6099999999999</v>
      </c>
      <c r="I120" t="s">
        <v>32</v>
      </c>
      <c r="J120" s="3">
        <v>0.03</v>
      </c>
      <c r="K120" s="4">
        <f t="shared" si="6"/>
        <v>45</v>
      </c>
      <c r="L120" t="str">
        <f t="shared" si="5"/>
        <v>Abril</v>
      </c>
    </row>
    <row r="121" spans="1:12" x14ac:dyDescent="0.25">
      <c r="A121">
        <v>120</v>
      </c>
      <c r="B121" s="1">
        <v>45764</v>
      </c>
      <c r="C121" t="s">
        <v>10</v>
      </c>
      <c r="D121" t="s">
        <v>206</v>
      </c>
      <c r="E121" t="s">
        <v>12</v>
      </c>
      <c r="F121">
        <v>1</v>
      </c>
      <c r="G121" s="2">
        <v>7000</v>
      </c>
      <c r="H121" s="2">
        <v>964.15999999999985</v>
      </c>
      <c r="I121" t="s">
        <v>32</v>
      </c>
      <c r="J121" s="3">
        <v>0.03</v>
      </c>
      <c r="K121" s="4">
        <f t="shared" si="6"/>
        <v>210</v>
      </c>
      <c r="L121" t="str">
        <f t="shared" si="5"/>
        <v>Abril</v>
      </c>
    </row>
    <row r="122" spans="1:12" x14ac:dyDescent="0.25">
      <c r="A122">
        <v>121</v>
      </c>
      <c r="B122" s="1">
        <v>45769</v>
      </c>
      <c r="C122" t="s">
        <v>10</v>
      </c>
      <c r="D122" t="s">
        <v>207</v>
      </c>
      <c r="E122" t="s">
        <v>11</v>
      </c>
      <c r="F122">
        <v>1</v>
      </c>
      <c r="G122" s="2">
        <v>590</v>
      </c>
      <c r="H122" s="2"/>
      <c r="I122" t="s">
        <v>32</v>
      </c>
      <c r="J122" s="3">
        <v>0.03</v>
      </c>
      <c r="K122" s="4">
        <f t="shared" si="6"/>
        <v>17.7</v>
      </c>
      <c r="L122" t="str">
        <f t="shared" si="5"/>
        <v>Abril</v>
      </c>
    </row>
    <row r="123" spans="1:12" x14ac:dyDescent="0.25">
      <c r="A123">
        <v>122</v>
      </c>
      <c r="B123" s="1">
        <v>45769</v>
      </c>
      <c r="C123" t="s">
        <v>10</v>
      </c>
      <c r="D123" t="s">
        <v>208</v>
      </c>
      <c r="E123" t="s">
        <v>11</v>
      </c>
      <c r="F123">
        <v>1</v>
      </c>
      <c r="G123" s="2">
        <v>590</v>
      </c>
      <c r="H123" s="2"/>
      <c r="I123" t="s">
        <v>32</v>
      </c>
      <c r="J123" s="3">
        <v>0.03</v>
      </c>
      <c r="K123" s="4">
        <f t="shared" si="6"/>
        <v>17.7</v>
      </c>
      <c r="L123" t="str">
        <f t="shared" si="5"/>
        <v>Abril</v>
      </c>
    </row>
    <row r="124" spans="1:12" x14ac:dyDescent="0.25">
      <c r="A124">
        <v>123</v>
      </c>
      <c r="B124" s="1">
        <v>45769</v>
      </c>
      <c r="C124" t="s">
        <v>10</v>
      </c>
      <c r="D124" t="s">
        <v>55</v>
      </c>
      <c r="E124" t="s">
        <v>11</v>
      </c>
      <c r="F124">
        <v>1</v>
      </c>
      <c r="G124" s="2">
        <v>590</v>
      </c>
      <c r="H124" s="2">
        <v>7.73</v>
      </c>
      <c r="I124" t="s">
        <v>32</v>
      </c>
      <c r="J124" s="3">
        <v>0.03</v>
      </c>
      <c r="K124" s="4">
        <f t="shared" si="6"/>
        <v>17.7</v>
      </c>
      <c r="L124" t="str">
        <f t="shared" si="5"/>
        <v>Abril</v>
      </c>
    </row>
    <row r="125" spans="1:12" x14ac:dyDescent="0.25">
      <c r="A125">
        <v>124</v>
      </c>
      <c r="B125" s="1">
        <v>45769</v>
      </c>
      <c r="C125" t="s">
        <v>10</v>
      </c>
      <c r="D125" t="s">
        <v>200</v>
      </c>
      <c r="E125" t="s">
        <v>12</v>
      </c>
      <c r="F125">
        <v>1</v>
      </c>
      <c r="G125" s="2">
        <v>6410</v>
      </c>
      <c r="H125" s="2"/>
      <c r="I125" t="s">
        <v>32</v>
      </c>
      <c r="J125" s="3">
        <v>0.03</v>
      </c>
      <c r="K125" s="4">
        <f t="shared" si="6"/>
        <v>192.29999999999998</v>
      </c>
      <c r="L125" t="str">
        <f t="shared" si="5"/>
        <v>Abril</v>
      </c>
    </row>
    <row r="126" spans="1:12" x14ac:dyDescent="0.25">
      <c r="A126">
        <v>125</v>
      </c>
      <c r="B126" s="1">
        <v>45769</v>
      </c>
      <c r="C126" t="s">
        <v>10</v>
      </c>
      <c r="D126" t="s">
        <v>169</v>
      </c>
      <c r="E126" t="s">
        <v>13</v>
      </c>
      <c r="F126">
        <v>1</v>
      </c>
      <c r="G126" s="2">
        <v>500</v>
      </c>
      <c r="H126" s="2"/>
      <c r="I126" t="s">
        <v>32</v>
      </c>
      <c r="J126" s="3">
        <v>0.03</v>
      </c>
      <c r="K126" s="4">
        <f t="shared" si="6"/>
        <v>15</v>
      </c>
      <c r="L126" t="str">
        <f t="shared" si="5"/>
        <v>Abril</v>
      </c>
    </row>
    <row r="127" spans="1:12" x14ac:dyDescent="0.25">
      <c r="A127">
        <v>126</v>
      </c>
      <c r="B127" s="1">
        <v>45769</v>
      </c>
      <c r="C127" t="s">
        <v>10</v>
      </c>
      <c r="D127" t="s">
        <v>209</v>
      </c>
      <c r="E127" t="s">
        <v>11</v>
      </c>
      <c r="F127">
        <v>1</v>
      </c>
      <c r="G127" s="2">
        <v>580</v>
      </c>
      <c r="H127" s="2"/>
      <c r="I127" t="s">
        <v>32</v>
      </c>
      <c r="J127" s="3">
        <v>0.03</v>
      </c>
      <c r="K127" s="4">
        <f t="shared" si="6"/>
        <v>17.399999999999999</v>
      </c>
      <c r="L127" t="str">
        <f t="shared" si="5"/>
        <v>Abril</v>
      </c>
    </row>
    <row r="128" spans="1:12" x14ac:dyDescent="0.25">
      <c r="A128">
        <v>127</v>
      </c>
      <c r="B128" s="1">
        <v>45769</v>
      </c>
      <c r="C128" t="s">
        <v>10</v>
      </c>
      <c r="D128" t="s">
        <v>210</v>
      </c>
      <c r="E128" t="s">
        <v>14</v>
      </c>
      <c r="F128">
        <v>1</v>
      </c>
      <c r="G128" s="2">
        <v>4600</v>
      </c>
      <c r="H128" s="2"/>
      <c r="I128" t="s">
        <v>32</v>
      </c>
      <c r="J128" s="3">
        <v>0.03</v>
      </c>
      <c r="K128" s="4">
        <f t="shared" si="6"/>
        <v>138</v>
      </c>
      <c r="L128" t="str">
        <f t="shared" si="5"/>
        <v>Abril</v>
      </c>
    </row>
    <row r="129" spans="1:12" x14ac:dyDescent="0.25">
      <c r="A129">
        <v>128</v>
      </c>
      <c r="B129" s="1">
        <v>45769</v>
      </c>
      <c r="C129" t="s">
        <v>10</v>
      </c>
      <c r="D129" t="s">
        <v>168</v>
      </c>
      <c r="E129" t="s">
        <v>13</v>
      </c>
      <c r="F129">
        <v>1</v>
      </c>
      <c r="G129" s="2">
        <v>5000</v>
      </c>
      <c r="H129" s="2">
        <v>702.96399999999994</v>
      </c>
      <c r="I129" t="s">
        <v>32</v>
      </c>
      <c r="J129" s="3">
        <v>0.03</v>
      </c>
      <c r="K129" s="4">
        <f t="shared" si="6"/>
        <v>150</v>
      </c>
      <c r="L129" t="str">
        <f t="shared" si="5"/>
        <v>Abril</v>
      </c>
    </row>
    <row r="130" spans="1:12" x14ac:dyDescent="0.25">
      <c r="A130">
        <v>129</v>
      </c>
      <c r="B130" s="1">
        <v>45769</v>
      </c>
      <c r="C130" t="s">
        <v>10</v>
      </c>
      <c r="D130" t="s">
        <v>66</v>
      </c>
      <c r="E130" t="s">
        <v>13</v>
      </c>
      <c r="F130">
        <v>1</v>
      </c>
      <c r="G130" s="2">
        <v>700</v>
      </c>
      <c r="H130" s="2"/>
      <c r="I130" t="s">
        <v>323</v>
      </c>
      <c r="J130" s="3">
        <v>0.03</v>
      </c>
      <c r="K130" s="4">
        <f t="shared" si="6"/>
        <v>21</v>
      </c>
      <c r="L130" t="str">
        <f t="shared" ref="L130:L193" si="8">PROPER(TEXT(B130,"mmmm"))</f>
        <v>Abril</v>
      </c>
    </row>
    <row r="131" spans="1:12" x14ac:dyDescent="0.25">
      <c r="A131">
        <v>130</v>
      </c>
      <c r="B131" s="1">
        <v>45769</v>
      </c>
      <c r="C131" t="s">
        <v>10</v>
      </c>
      <c r="D131" t="s">
        <v>211</v>
      </c>
      <c r="E131" t="s">
        <v>13</v>
      </c>
      <c r="F131">
        <v>1</v>
      </c>
      <c r="G131" s="2">
        <v>5000</v>
      </c>
      <c r="H131" s="2">
        <v>702.96</v>
      </c>
      <c r="I131" t="s">
        <v>32</v>
      </c>
      <c r="J131" s="3">
        <v>0.03</v>
      </c>
      <c r="K131" s="4">
        <f t="shared" si="6"/>
        <v>150</v>
      </c>
      <c r="L131" t="str">
        <f t="shared" si="8"/>
        <v>Abril</v>
      </c>
    </row>
    <row r="132" spans="1:12" x14ac:dyDescent="0.25">
      <c r="A132">
        <v>131</v>
      </c>
      <c r="B132" s="1">
        <v>45755</v>
      </c>
      <c r="C132" t="s">
        <v>10</v>
      </c>
      <c r="D132" t="s">
        <v>175</v>
      </c>
      <c r="E132" t="s">
        <v>13</v>
      </c>
      <c r="F132">
        <v>1</v>
      </c>
      <c r="G132" s="2">
        <v>5000</v>
      </c>
      <c r="H132" s="2"/>
      <c r="I132" t="s">
        <v>32</v>
      </c>
      <c r="J132" s="3">
        <v>0.03</v>
      </c>
      <c r="K132" s="4">
        <f t="shared" si="6"/>
        <v>150</v>
      </c>
      <c r="L132" t="str">
        <f t="shared" si="8"/>
        <v>Abril</v>
      </c>
    </row>
    <row r="133" spans="1:12" x14ac:dyDescent="0.25">
      <c r="A133">
        <v>132</v>
      </c>
      <c r="B133" s="1">
        <v>45771</v>
      </c>
      <c r="C133" t="s">
        <v>10</v>
      </c>
      <c r="D133" t="s">
        <v>212</v>
      </c>
      <c r="E133" t="s">
        <v>15</v>
      </c>
      <c r="F133">
        <v>1</v>
      </c>
      <c r="G133" s="2">
        <v>1500</v>
      </c>
      <c r="H133" s="2">
        <v>145.17800000000011</v>
      </c>
      <c r="I133" t="s">
        <v>32</v>
      </c>
      <c r="J133" s="3">
        <v>0.03</v>
      </c>
      <c r="K133" s="4">
        <f t="shared" si="6"/>
        <v>45</v>
      </c>
      <c r="L133" t="str">
        <f t="shared" si="8"/>
        <v>Abril</v>
      </c>
    </row>
    <row r="134" spans="1:12" x14ac:dyDescent="0.25">
      <c r="A134">
        <v>133</v>
      </c>
      <c r="B134" s="1">
        <v>45771</v>
      </c>
      <c r="C134" t="s">
        <v>10</v>
      </c>
      <c r="D134" t="s">
        <v>213</v>
      </c>
      <c r="E134" t="s">
        <v>11</v>
      </c>
      <c r="F134">
        <v>1</v>
      </c>
      <c r="G134" s="2">
        <v>700</v>
      </c>
      <c r="H134" s="2"/>
      <c r="I134" t="s">
        <v>32</v>
      </c>
      <c r="J134" s="3">
        <v>0.03</v>
      </c>
      <c r="K134" s="4">
        <f t="shared" si="6"/>
        <v>21</v>
      </c>
      <c r="L134" t="str">
        <f t="shared" si="8"/>
        <v>Abril</v>
      </c>
    </row>
    <row r="135" spans="1:12" x14ac:dyDescent="0.25">
      <c r="A135">
        <v>134</v>
      </c>
      <c r="B135" s="1">
        <v>45772</v>
      </c>
      <c r="C135" t="s">
        <v>10</v>
      </c>
      <c r="D135" t="s">
        <v>107</v>
      </c>
      <c r="E135" t="s">
        <v>11</v>
      </c>
      <c r="F135">
        <v>1</v>
      </c>
      <c r="G135" s="2">
        <v>590</v>
      </c>
      <c r="H135" s="2">
        <v>7.73</v>
      </c>
      <c r="I135" t="s">
        <v>32</v>
      </c>
      <c r="J135" s="3">
        <v>0.03</v>
      </c>
      <c r="K135" s="4">
        <f t="shared" si="6"/>
        <v>17.7</v>
      </c>
      <c r="L135" t="str">
        <f t="shared" si="8"/>
        <v>Abril</v>
      </c>
    </row>
    <row r="136" spans="1:12" x14ac:dyDescent="0.25">
      <c r="A136">
        <v>135</v>
      </c>
      <c r="B136" s="1">
        <v>45772</v>
      </c>
      <c r="C136" t="s">
        <v>10</v>
      </c>
      <c r="D136" t="s">
        <v>91</v>
      </c>
      <c r="E136" t="s">
        <v>16</v>
      </c>
      <c r="F136">
        <v>1</v>
      </c>
      <c r="G136" s="2">
        <v>300</v>
      </c>
      <c r="H136" s="2">
        <v>12.733000000000004</v>
      </c>
      <c r="I136" t="s">
        <v>32</v>
      </c>
      <c r="J136" s="3">
        <v>0.03</v>
      </c>
      <c r="K136" s="4">
        <f t="shared" si="6"/>
        <v>9</v>
      </c>
      <c r="L136" t="str">
        <f t="shared" si="8"/>
        <v>Abril</v>
      </c>
    </row>
    <row r="137" spans="1:12" x14ac:dyDescent="0.25">
      <c r="A137">
        <v>136</v>
      </c>
      <c r="B137" s="1">
        <v>45772</v>
      </c>
      <c r="C137" t="s">
        <v>10</v>
      </c>
      <c r="D137" t="s">
        <v>214</v>
      </c>
      <c r="E137" t="s">
        <v>11</v>
      </c>
      <c r="F137">
        <v>1</v>
      </c>
      <c r="G137" s="2">
        <v>590</v>
      </c>
      <c r="H137" s="2"/>
      <c r="I137" t="s">
        <v>32</v>
      </c>
      <c r="J137" s="3">
        <v>0.03</v>
      </c>
      <c r="K137" s="4">
        <f t="shared" si="6"/>
        <v>17.7</v>
      </c>
      <c r="L137" t="str">
        <f t="shared" si="8"/>
        <v>Abril</v>
      </c>
    </row>
    <row r="138" spans="1:12" x14ac:dyDescent="0.25">
      <c r="A138">
        <v>137</v>
      </c>
      <c r="B138" s="1">
        <v>45772</v>
      </c>
      <c r="C138" t="s">
        <v>10</v>
      </c>
      <c r="D138" t="s">
        <v>62</v>
      </c>
      <c r="E138" t="s">
        <v>11</v>
      </c>
      <c r="F138">
        <v>1</v>
      </c>
      <c r="G138" s="2">
        <v>590</v>
      </c>
      <c r="H138" s="2"/>
      <c r="I138" t="s">
        <v>32</v>
      </c>
      <c r="J138" s="3">
        <v>0.03</v>
      </c>
      <c r="K138" s="4">
        <f t="shared" si="6"/>
        <v>17.7</v>
      </c>
      <c r="L138" t="str">
        <f t="shared" si="8"/>
        <v>Abril</v>
      </c>
    </row>
    <row r="139" spans="1:12" x14ac:dyDescent="0.25">
      <c r="A139">
        <v>138</v>
      </c>
      <c r="B139" s="1">
        <v>45772</v>
      </c>
      <c r="C139" t="s">
        <v>10</v>
      </c>
      <c r="D139" t="s">
        <v>77</v>
      </c>
      <c r="E139" t="s">
        <v>16</v>
      </c>
      <c r="F139">
        <v>1</v>
      </c>
      <c r="G139" s="2">
        <v>250</v>
      </c>
      <c r="H139" s="2"/>
      <c r="I139" t="s">
        <v>32</v>
      </c>
      <c r="J139" s="3">
        <v>0.03</v>
      </c>
      <c r="K139" s="4">
        <f t="shared" si="6"/>
        <v>7.5</v>
      </c>
      <c r="L139" t="str">
        <f t="shared" si="8"/>
        <v>Abril</v>
      </c>
    </row>
    <row r="140" spans="1:12" x14ac:dyDescent="0.25">
      <c r="A140">
        <v>139</v>
      </c>
      <c r="B140" s="1">
        <v>45772</v>
      </c>
      <c r="C140" t="s">
        <v>10</v>
      </c>
      <c r="D140" t="s">
        <v>207</v>
      </c>
      <c r="E140" t="s">
        <v>17</v>
      </c>
      <c r="F140">
        <v>1</v>
      </c>
      <c r="G140" s="2">
        <v>11000</v>
      </c>
      <c r="H140" s="2"/>
      <c r="I140" t="s">
        <v>32</v>
      </c>
      <c r="J140" s="3">
        <v>0.03</v>
      </c>
      <c r="K140" s="4">
        <f t="shared" si="6"/>
        <v>330</v>
      </c>
      <c r="L140" t="str">
        <f t="shared" si="8"/>
        <v>Abril</v>
      </c>
    </row>
    <row r="141" spans="1:12" x14ac:dyDescent="0.25">
      <c r="A141">
        <v>140</v>
      </c>
      <c r="B141" s="1">
        <v>45772</v>
      </c>
      <c r="C141" t="s">
        <v>10</v>
      </c>
      <c r="D141" t="s">
        <v>215</v>
      </c>
      <c r="E141" t="s">
        <v>13</v>
      </c>
      <c r="F141">
        <v>1</v>
      </c>
      <c r="G141" s="2">
        <v>5000</v>
      </c>
      <c r="H141" s="2">
        <v>797.48999999999978</v>
      </c>
      <c r="I141" t="s">
        <v>32</v>
      </c>
      <c r="J141" s="3">
        <v>0.03</v>
      </c>
      <c r="K141" s="4">
        <f t="shared" si="6"/>
        <v>150</v>
      </c>
      <c r="L141" t="str">
        <f t="shared" si="8"/>
        <v>Abril</v>
      </c>
    </row>
    <row r="142" spans="1:12" x14ac:dyDescent="0.25">
      <c r="A142">
        <v>141</v>
      </c>
      <c r="B142" s="1">
        <v>45772</v>
      </c>
      <c r="C142" t="s">
        <v>38</v>
      </c>
      <c r="D142" t="s">
        <v>105</v>
      </c>
      <c r="E142" t="s">
        <v>24</v>
      </c>
      <c r="F142">
        <v>1</v>
      </c>
      <c r="G142" s="2">
        <v>600</v>
      </c>
      <c r="H142" s="2"/>
      <c r="I142" t="s">
        <v>32</v>
      </c>
      <c r="J142" s="3">
        <v>0.03</v>
      </c>
      <c r="K142" s="4">
        <f t="shared" ref="K142:K143" si="9">G142*J142</f>
        <v>18</v>
      </c>
      <c r="L142" t="str">
        <f t="shared" si="8"/>
        <v>Abril</v>
      </c>
    </row>
    <row r="143" spans="1:12" x14ac:dyDescent="0.25">
      <c r="A143">
        <v>142</v>
      </c>
      <c r="B143" s="1">
        <v>45773</v>
      </c>
      <c r="C143" t="s">
        <v>38</v>
      </c>
      <c r="D143" t="s">
        <v>216</v>
      </c>
      <c r="E143" t="s">
        <v>13</v>
      </c>
      <c r="F143">
        <v>1</v>
      </c>
      <c r="G143" s="2">
        <v>10000</v>
      </c>
      <c r="H143" s="2"/>
      <c r="I143" t="s">
        <v>32</v>
      </c>
      <c r="J143" s="3">
        <v>0.03</v>
      </c>
      <c r="K143" s="4">
        <f t="shared" si="9"/>
        <v>300</v>
      </c>
      <c r="L143" t="str">
        <f t="shared" si="8"/>
        <v>Abril</v>
      </c>
    </row>
    <row r="144" spans="1:12" x14ac:dyDescent="0.25">
      <c r="A144">
        <v>143</v>
      </c>
      <c r="B144" s="1">
        <v>45773</v>
      </c>
      <c r="C144" t="s">
        <v>10</v>
      </c>
      <c r="D144" t="s">
        <v>216</v>
      </c>
      <c r="E144" t="s">
        <v>18</v>
      </c>
      <c r="F144">
        <v>1</v>
      </c>
      <c r="G144" s="2">
        <v>10000</v>
      </c>
      <c r="H144" s="2"/>
      <c r="I144" t="s">
        <v>32</v>
      </c>
      <c r="J144" s="3">
        <v>0.03</v>
      </c>
      <c r="K144" s="4">
        <f t="shared" si="6"/>
        <v>300</v>
      </c>
      <c r="L144" t="str">
        <f t="shared" si="8"/>
        <v>Abril</v>
      </c>
    </row>
    <row r="145" spans="1:12" x14ac:dyDescent="0.25">
      <c r="A145">
        <v>144</v>
      </c>
      <c r="B145" s="1">
        <v>45776</v>
      </c>
      <c r="C145" t="s">
        <v>10</v>
      </c>
      <c r="D145" t="s">
        <v>163</v>
      </c>
      <c r="E145" t="s">
        <v>13</v>
      </c>
      <c r="F145">
        <v>1</v>
      </c>
      <c r="G145" s="2">
        <v>700</v>
      </c>
      <c r="H145" s="2"/>
      <c r="I145" t="s">
        <v>32</v>
      </c>
      <c r="J145" s="3">
        <v>0.03</v>
      </c>
      <c r="K145" s="4">
        <f t="shared" si="6"/>
        <v>21</v>
      </c>
      <c r="L145" t="str">
        <f t="shared" si="8"/>
        <v>Abril</v>
      </c>
    </row>
    <row r="146" spans="1:12" x14ac:dyDescent="0.25">
      <c r="A146">
        <v>145</v>
      </c>
      <c r="B146" s="1">
        <v>45776</v>
      </c>
      <c r="C146" t="s">
        <v>10</v>
      </c>
      <c r="D146" t="s">
        <v>60</v>
      </c>
      <c r="E146" t="s">
        <v>13</v>
      </c>
      <c r="F146">
        <v>1</v>
      </c>
      <c r="G146" s="2">
        <v>3000</v>
      </c>
      <c r="H146" s="2"/>
      <c r="I146" t="s">
        <v>32</v>
      </c>
      <c r="J146" s="3">
        <v>0.03</v>
      </c>
      <c r="K146" s="4">
        <f t="shared" si="6"/>
        <v>90</v>
      </c>
      <c r="L146" t="str">
        <f t="shared" si="8"/>
        <v>Abril</v>
      </c>
    </row>
    <row r="147" spans="1:12" x14ac:dyDescent="0.25">
      <c r="A147">
        <v>146</v>
      </c>
      <c r="B147" s="1">
        <v>45776</v>
      </c>
      <c r="C147" t="s">
        <v>10</v>
      </c>
      <c r="D147" t="s">
        <v>94</v>
      </c>
      <c r="E147" t="s">
        <v>16</v>
      </c>
      <c r="F147">
        <v>1</v>
      </c>
      <c r="G147" s="2">
        <v>350</v>
      </c>
      <c r="H147" s="2"/>
      <c r="I147" t="s">
        <v>32</v>
      </c>
      <c r="J147" s="3">
        <v>0.03</v>
      </c>
      <c r="K147" s="4">
        <f t="shared" si="6"/>
        <v>10.5</v>
      </c>
      <c r="L147" t="str">
        <f t="shared" si="8"/>
        <v>Abril</v>
      </c>
    </row>
    <row r="148" spans="1:12" x14ac:dyDescent="0.25">
      <c r="A148">
        <v>147</v>
      </c>
      <c r="B148" s="1">
        <v>45776</v>
      </c>
      <c r="C148" t="s">
        <v>10</v>
      </c>
      <c r="D148" t="s">
        <v>217</v>
      </c>
      <c r="E148" t="s">
        <v>11</v>
      </c>
      <c r="F148">
        <v>1</v>
      </c>
      <c r="G148" s="2">
        <v>590</v>
      </c>
      <c r="H148" s="2"/>
      <c r="I148" t="s">
        <v>32</v>
      </c>
      <c r="J148" s="3">
        <v>0.03</v>
      </c>
      <c r="K148" s="4">
        <f t="shared" si="6"/>
        <v>17.7</v>
      </c>
      <c r="L148" t="str">
        <f t="shared" si="8"/>
        <v>Abril</v>
      </c>
    </row>
    <row r="149" spans="1:12" x14ac:dyDescent="0.25">
      <c r="A149">
        <v>148</v>
      </c>
      <c r="B149" s="1">
        <v>45776</v>
      </c>
      <c r="C149" t="s">
        <v>10</v>
      </c>
      <c r="D149" t="s">
        <v>218</v>
      </c>
      <c r="E149" t="s">
        <v>13</v>
      </c>
      <c r="F149">
        <v>1</v>
      </c>
      <c r="G149" s="2">
        <v>3000</v>
      </c>
      <c r="H149" s="2">
        <v>421.57499999999982</v>
      </c>
      <c r="I149" t="s">
        <v>32</v>
      </c>
      <c r="J149" s="3">
        <v>0.03</v>
      </c>
      <c r="K149" s="4">
        <f t="shared" si="6"/>
        <v>90</v>
      </c>
      <c r="L149" t="str">
        <f t="shared" si="8"/>
        <v>Abril</v>
      </c>
    </row>
    <row r="150" spans="1:12" x14ac:dyDescent="0.25">
      <c r="A150">
        <v>149</v>
      </c>
      <c r="B150" s="1">
        <v>45776</v>
      </c>
      <c r="C150" t="s">
        <v>10</v>
      </c>
      <c r="D150" t="s">
        <v>219</v>
      </c>
      <c r="E150" t="s">
        <v>11</v>
      </c>
      <c r="F150">
        <v>1</v>
      </c>
      <c r="G150" s="2">
        <v>590</v>
      </c>
      <c r="H150" s="2"/>
      <c r="I150" t="s">
        <v>323</v>
      </c>
      <c r="J150" s="3">
        <v>0.03</v>
      </c>
      <c r="K150" s="4">
        <f t="shared" si="6"/>
        <v>17.7</v>
      </c>
      <c r="L150" t="str">
        <f t="shared" si="8"/>
        <v>Abril</v>
      </c>
    </row>
    <row r="151" spans="1:12" x14ac:dyDescent="0.25">
      <c r="A151">
        <v>150</v>
      </c>
      <c r="B151" s="1">
        <v>45776</v>
      </c>
      <c r="C151" t="s">
        <v>10</v>
      </c>
      <c r="D151" t="s">
        <v>220</v>
      </c>
      <c r="E151" t="s">
        <v>11</v>
      </c>
      <c r="F151">
        <v>1</v>
      </c>
      <c r="G151" s="2">
        <v>600</v>
      </c>
      <c r="H151" s="2"/>
      <c r="I151" t="s">
        <v>32</v>
      </c>
      <c r="J151" s="3">
        <v>0.03</v>
      </c>
      <c r="K151" s="4">
        <f t="shared" si="6"/>
        <v>18</v>
      </c>
      <c r="L151" t="str">
        <f t="shared" si="8"/>
        <v>Abril</v>
      </c>
    </row>
    <row r="152" spans="1:12" x14ac:dyDescent="0.25">
      <c r="A152">
        <v>151</v>
      </c>
      <c r="B152" s="1">
        <v>45776</v>
      </c>
      <c r="C152" t="s">
        <v>10</v>
      </c>
      <c r="D152" t="s">
        <v>221</v>
      </c>
      <c r="E152" t="s">
        <v>11</v>
      </c>
      <c r="F152">
        <v>1</v>
      </c>
      <c r="G152" s="2">
        <v>590</v>
      </c>
      <c r="H152" s="2">
        <v>39.059999999999945</v>
      </c>
      <c r="I152" t="s">
        <v>32</v>
      </c>
      <c r="J152" s="3">
        <v>0.03</v>
      </c>
      <c r="K152" s="4">
        <f t="shared" si="6"/>
        <v>17.7</v>
      </c>
      <c r="L152" t="str">
        <f t="shared" si="8"/>
        <v>Abril</v>
      </c>
    </row>
    <row r="153" spans="1:12" x14ac:dyDescent="0.25">
      <c r="A153">
        <v>152</v>
      </c>
      <c r="B153" s="1">
        <v>45776</v>
      </c>
      <c r="C153" t="s">
        <v>10</v>
      </c>
      <c r="D153" t="s">
        <v>222</v>
      </c>
      <c r="E153" t="s">
        <v>13</v>
      </c>
      <c r="F153">
        <v>1</v>
      </c>
      <c r="G153" s="2">
        <v>2500</v>
      </c>
      <c r="H153" s="2">
        <v>32.75</v>
      </c>
      <c r="I153" t="s">
        <v>32</v>
      </c>
      <c r="J153" s="3">
        <v>0.03</v>
      </c>
      <c r="K153" s="4">
        <f t="shared" si="6"/>
        <v>75</v>
      </c>
      <c r="L153" t="str">
        <f t="shared" si="8"/>
        <v>Abril</v>
      </c>
    </row>
    <row r="154" spans="1:12" x14ac:dyDescent="0.25">
      <c r="A154">
        <v>153</v>
      </c>
      <c r="B154" s="1">
        <v>45776</v>
      </c>
      <c r="C154" t="s">
        <v>10</v>
      </c>
      <c r="D154" t="s">
        <v>202</v>
      </c>
      <c r="E154" t="s">
        <v>13</v>
      </c>
      <c r="F154">
        <v>1</v>
      </c>
      <c r="G154" s="2">
        <v>600</v>
      </c>
      <c r="H154" s="2"/>
      <c r="I154" t="s">
        <v>32</v>
      </c>
      <c r="J154" s="3">
        <v>0.03</v>
      </c>
      <c r="K154" s="4">
        <f t="shared" si="6"/>
        <v>18</v>
      </c>
      <c r="L154" t="str">
        <f t="shared" si="8"/>
        <v>Abril</v>
      </c>
    </row>
    <row r="155" spans="1:12" x14ac:dyDescent="0.25">
      <c r="A155">
        <v>154</v>
      </c>
      <c r="B155" s="1">
        <v>45777</v>
      </c>
      <c r="C155" t="s">
        <v>10</v>
      </c>
      <c r="D155" t="s">
        <v>223</v>
      </c>
      <c r="E155" t="s">
        <v>13</v>
      </c>
      <c r="F155">
        <v>1</v>
      </c>
      <c r="G155" s="2">
        <v>500</v>
      </c>
      <c r="H155" s="2"/>
      <c r="I155" t="s">
        <v>32</v>
      </c>
      <c r="J155" s="3">
        <v>0.03</v>
      </c>
      <c r="K155" s="4">
        <f t="shared" si="6"/>
        <v>15</v>
      </c>
      <c r="L155" t="str">
        <f t="shared" si="8"/>
        <v>Abril</v>
      </c>
    </row>
    <row r="156" spans="1:12" x14ac:dyDescent="0.25">
      <c r="A156">
        <v>155</v>
      </c>
      <c r="B156" s="1">
        <v>45781</v>
      </c>
      <c r="C156" t="s">
        <v>38</v>
      </c>
      <c r="D156" t="s">
        <v>104</v>
      </c>
      <c r="E156" t="s">
        <v>13</v>
      </c>
      <c r="F156">
        <v>1</v>
      </c>
      <c r="G156" s="2">
        <v>500</v>
      </c>
      <c r="H156" s="2"/>
      <c r="I156" t="s">
        <v>32</v>
      </c>
      <c r="J156" s="3">
        <v>0.03</v>
      </c>
      <c r="K156" s="4">
        <f t="shared" ref="K156:K187" si="10">G156*J156</f>
        <v>15</v>
      </c>
      <c r="L156" t="str">
        <f t="shared" si="8"/>
        <v>Maio</v>
      </c>
    </row>
    <row r="157" spans="1:12" x14ac:dyDescent="0.25">
      <c r="A157">
        <v>156</v>
      </c>
      <c r="B157" s="1">
        <v>45781</v>
      </c>
      <c r="C157" t="s">
        <v>38</v>
      </c>
      <c r="D157" t="s">
        <v>89</v>
      </c>
      <c r="E157" t="s">
        <v>25</v>
      </c>
      <c r="F157">
        <v>1</v>
      </c>
      <c r="G157" s="2">
        <v>700</v>
      </c>
      <c r="H157" s="2">
        <v>39.1</v>
      </c>
      <c r="I157" t="s">
        <v>32</v>
      </c>
      <c r="J157" s="3">
        <v>0.03</v>
      </c>
      <c r="K157" s="4">
        <f t="shared" si="10"/>
        <v>21</v>
      </c>
      <c r="L157" t="str">
        <f t="shared" si="8"/>
        <v>Maio</v>
      </c>
    </row>
    <row r="158" spans="1:12" x14ac:dyDescent="0.25">
      <c r="A158">
        <v>157</v>
      </c>
      <c r="B158" s="1">
        <v>45782</v>
      </c>
      <c r="C158" t="s">
        <v>10</v>
      </c>
      <c r="D158" t="s">
        <v>44</v>
      </c>
      <c r="E158" t="s">
        <v>13</v>
      </c>
      <c r="F158">
        <v>1</v>
      </c>
      <c r="G158" s="2">
        <v>3000</v>
      </c>
      <c r="H158" s="2">
        <v>421.17</v>
      </c>
      <c r="I158" t="s">
        <v>32</v>
      </c>
      <c r="J158" s="3">
        <v>0.03</v>
      </c>
      <c r="K158" s="4">
        <f t="shared" si="10"/>
        <v>90</v>
      </c>
      <c r="L158" t="str">
        <f t="shared" si="8"/>
        <v>Maio</v>
      </c>
    </row>
    <row r="159" spans="1:12" x14ac:dyDescent="0.25">
      <c r="A159">
        <v>158</v>
      </c>
      <c r="B159" s="1">
        <v>45782</v>
      </c>
      <c r="C159" t="s">
        <v>10</v>
      </c>
      <c r="D159" t="s">
        <v>45</v>
      </c>
      <c r="E159" t="s">
        <v>11</v>
      </c>
      <c r="F159">
        <v>1</v>
      </c>
      <c r="G159" s="2">
        <v>600</v>
      </c>
      <c r="H159" s="2"/>
      <c r="I159" t="s">
        <v>32</v>
      </c>
      <c r="J159" s="3">
        <v>0.03</v>
      </c>
      <c r="K159" s="4">
        <f t="shared" si="10"/>
        <v>18</v>
      </c>
      <c r="L159" t="str">
        <f t="shared" si="8"/>
        <v>Maio</v>
      </c>
    </row>
    <row r="160" spans="1:12" x14ac:dyDescent="0.25">
      <c r="A160">
        <v>159</v>
      </c>
      <c r="B160" s="1">
        <v>45782</v>
      </c>
      <c r="C160" t="s">
        <v>10</v>
      </c>
      <c r="D160" t="s">
        <v>46</v>
      </c>
      <c r="E160" t="s">
        <v>11</v>
      </c>
      <c r="F160">
        <v>1</v>
      </c>
      <c r="G160" s="2">
        <v>600</v>
      </c>
      <c r="H160" s="2">
        <v>29.69</v>
      </c>
      <c r="I160" t="s">
        <v>32</v>
      </c>
      <c r="J160" s="3">
        <v>0.03</v>
      </c>
      <c r="K160" s="4">
        <f t="shared" si="10"/>
        <v>18</v>
      </c>
      <c r="L160" t="str">
        <f t="shared" si="8"/>
        <v>Maio</v>
      </c>
    </row>
    <row r="161" spans="1:12" x14ac:dyDescent="0.25">
      <c r="A161">
        <v>160</v>
      </c>
      <c r="B161" s="1">
        <v>45782</v>
      </c>
      <c r="C161" t="s">
        <v>10</v>
      </c>
      <c r="D161" t="s">
        <v>47</v>
      </c>
      <c r="E161" t="s">
        <v>13</v>
      </c>
      <c r="F161">
        <v>1</v>
      </c>
      <c r="G161" s="2">
        <v>500</v>
      </c>
      <c r="H161" s="2">
        <v>27.76</v>
      </c>
      <c r="I161" t="s">
        <v>32</v>
      </c>
      <c r="J161" s="3">
        <v>0.03</v>
      </c>
      <c r="K161" s="4">
        <f t="shared" si="10"/>
        <v>15</v>
      </c>
      <c r="L161" t="str">
        <f t="shared" si="8"/>
        <v>Maio</v>
      </c>
    </row>
    <row r="162" spans="1:12" x14ac:dyDescent="0.25">
      <c r="A162">
        <v>161</v>
      </c>
      <c r="B162" s="1">
        <v>45782</v>
      </c>
      <c r="C162" t="s">
        <v>10</v>
      </c>
      <c r="D162" t="s">
        <v>48</v>
      </c>
      <c r="E162" t="s">
        <v>11</v>
      </c>
      <c r="F162">
        <v>1</v>
      </c>
      <c r="G162" s="2">
        <v>600</v>
      </c>
      <c r="H162" s="2">
        <v>39.590000000000003</v>
      </c>
      <c r="I162" t="s">
        <v>32</v>
      </c>
      <c r="J162" s="3">
        <v>0.03</v>
      </c>
      <c r="K162" s="4">
        <f t="shared" si="10"/>
        <v>18</v>
      </c>
      <c r="L162" t="str">
        <f t="shared" si="8"/>
        <v>Maio</v>
      </c>
    </row>
    <row r="163" spans="1:12" x14ac:dyDescent="0.25">
      <c r="A163">
        <v>162</v>
      </c>
      <c r="B163" s="1">
        <v>45782</v>
      </c>
      <c r="C163" t="s">
        <v>10</v>
      </c>
      <c r="D163" t="s">
        <v>49</v>
      </c>
      <c r="E163" t="s">
        <v>20</v>
      </c>
      <c r="F163">
        <v>1</v>
      </c>
      <c r="G163" s="2">
        <v>350</v>
      </c>
      <c r="H163" s="2"/>
      <c r="I163" t="s">
        <v>32</v>
      </c>
      <c r="J163" s="3">
        <v>0.03</v>
      </c>
      <c r="K163" s="4">
        <f t="shared" si="10"/>
        <v>10.5</v>
      </c>
      <c r="L163" t="str">
        <f t="shared" si="8"/>
        <v>Maio</v>
      </c>
    </row>
    <row r="164" spans="1:12" x14ac:dyDescent="0.25">
      <c r="A164">
        <v>163</v>
      </c>
      <c r="B164" s="1">
        <v>45782</v>
      </c>
      <c r="C164" t="s">
        <v>10</v>
      </c>
      <c r="D164" t="s">
        <v>50</v>
      </c>
      <c r="E164" t="s">
        <v>13</v>
      </c>
      <c r="F164">
        <v>1</v>
      </c>
      <c r="G164" s="2">
        <v>3000</v>
      </c>
      <c r="H164" s="2">
        <v>259.05</v>
      </c>
      <c r="I164" t="s">
        <v>32</v>
      </c>
      <c r="J164" s="3">
        <v>0.03</v>
      </c>
      <c r="K164" s="4">
        <f t="shared" si="10"/>
        <v>90</v>
      </c>
      <c r="L164" t="str">
        <f t="shared" si="8"/>
        <v>Maio</v>
      </c>
    </row>
    <row r="165" spans="1:12" x14ac:dyDescent="0.25">
      <c r="A165">
        <v>164</v>
      </c>
      <c r="B165" s="1">
        <v>45782</v>
      </c>
      <c r="C165" t="s">
        <v>10</v>
      </c>
      <c r="D165" t="s">
        <v>51</v>
      </c>
      <c r="E165" t="s">
        <v>11</v>
      </c>
      <c r="F165">
        <v>1</v>
      </c>
      <c r="G165" s="2">
        <v>600</v>
      </c>
      <c r="H165" s="2">
        <v>7.86</v>
      </c>
      <c r="I165" t="s">
        <v>32</v>
      </c>
      <c r="J165" s="3">
        <v>0.03</v>
      </c>
      <c r="K165" s="4">
        <f t="shared" si="10"/>
        <v>18</v>
      </c>
      <c r="L165" t="str">
        <f t="shared" si="8"/>
        <v>Maio</v>
      </c>
    </row>
    <row r="166" spans="1:12" x14ac:dyDescent="0.25">
      <c r="A166">
        <v>165</v>
      </c>
      <c r="B166" s="1">
        <v>45782</v>
      </c>
      <c r="C166" t="s">
        <v>10</v>
      </c>
      <c r="D166" t="s">
        <v>52</v>
      </c>
      <c r="E166" t="s">
        <v>11</v>
      </c>
      <c r="F166">
        <v>1</v>
      </c>
      <c r="G166" s="2">
        <v>600</v>
      </c>
      <c r="H166" s="2">
        <v>45.69</v>
      </c>
      <c r="I166" t="s">
        <v>32</v>
      </c>
      <c r="J166" s="3">
        <v>0.03</v>
      </c>
      <c r="K166" s="4">
        <f t="shared" si="10"/>
        <v>18</v>
      </c>
      <c r="L166" t="str">
        <f t="shared" si="8"/>
        <v>Maio</v>
      </c>
    </row>
    <row r="167" spans="1:12" x14ac:dyDescent="0.25">
      <c r="A167">
        <v>166</v>
      </c>
      <c r="B167" s="1">
        <v>45783</v>
      </c>
      <c r="C167" t="s">
        <v>10</v>
      </c>
      <c r="D167" t="s">
        <v>53</v>
      </c>
      <c r="E167" t="s">
        <v>13</v>
      </c>
      <c r="F167">
        <v>1</v>
      </c>
      <c r="G167" s="2">
        <v>700</v>
      </c>
      <c r="H167" s="2"/>
      <c r="I167" t="s">
        <v>32</v>
      </c>
      <c r="J167" s="3">
        <v>0.03</v>
      </c>
      <c r="K167" s="4">
        <f t="shared" si="10"/>
        <v>21</v>
      </c>
      <c r="L167" t="str">
        <f t="shared" si="8"/>
        <v>Maio</v>
      </c>
    </row>
    <row r="168" spans="1:12" x14ac:dyDescent="0.25">
      <c r="A168">
        <v>167</v>
      </c>
      <c r="B168" s="1">
        <v>45783</v>
      </c>
      <c r="C168" t="s">
        <v>10</v>
      </c>
      <c r="D168" t="s">
        <v>54</v>
      </c>
      <c r="E168" t="s">
        <v>28</v>
      </c>
      <c r="F168">
        <v>1</v>
      </c>
      <c r="G168" s="2">
        <v>7800</v>
      </c>
      <c r="H168" s="2">
        <v>1096.0999999999999</v>
      </c>
      <c r="I168" t="s">
        <v>32</v>
      </c>
      <c r="J168" s="3">
        <v>0.03</v>
      </c>
      <c r="K168" s="4">
        <f t="shared" si="10"/>
        <v>234</v>
      </c>
      <c r="L168" t="str">
        <f t="shared" si="8"/>
        <v>Maio</v>
      </c>
    </row>
    <row r="169" spans="1:12" x14ac:dyDescent="0.25">
      <c r="A169">
        <v>168</v>
      </c>
      <c r="B169" s="1">
        <v>45783</v>
      </c>
      <c r="C169" t="s">
        <v>10</v>
      </c>
      <c r="D169" t="s">
        <v>55</v>
      </c>
      <c r="E169" t="s">
        <v>15</v>
      </c>
      <c r="F169">
        <v>1</v>
      </c>
      <c r="G169" s="2">
        <v>1500</v>
      </c>
      <c r="H169" s="2">
        <v>19.649999999999999</v>
      </c>
      <c r="I169" t="s">
        <v>32</v>
      </c>
      <c r="J169" s="3">
        <v>0.03</v>
      </c>
      <c r="K169" s="4">
        <f t="shared" si="10"/>
        <v>45</v>
      </c>
      <c r="L169" t="str">
        <f t="shared" si="8"/>
        <v>Maio</v>
      </c>
    </row>
    <row r="170" spans="1:12" x14ac:dyDescent="0.25">
      <c r="A170">
        <v>169</v>
      </c>
      <c r="B170" s="1">
        <v>45783</v>
      </c>
      <c r="C170" t="s">
        <v>10</v>
      </c>
      <c r="D170" t="s">
        <v>56</v>
      </c>
      <c r="E170" t="s">
        <v>19</v>
      </c>
      <c r="F170">
        <v>1</v>
      </c>
      <c r="G170" s="2">
        <v>600</v>
      </c>
      <c r="H170" s="2"/>
      <c r="I170" t="s">
        <v>32</v>
      </c>
      <c r="J170" s="3">
        <v>0.03</v>
      </c>
      <c r="K170" s="4">
        <f t="shared" si="10"/>
        <v>18</v>
      </c>
      <c r="L170" t="str">
        <f t="shared" si="8"/>
        <v>Maio</v>
      </c>
    </row>
    <row r="171" spans="1:12" x14ac:dyDescent="0.25">
      <c r="A171">
        <v>170</v>
      </c>
      <c r="B171" s="1">
        <v>45783</v>
      </c>
      <c r="C171" t="s">
        <v>10</v>
      </c>
      <c r="D171" t="s">
        <v>57</v>
      </c>
      <c r="E171" t="s">
        <v>20</v>
      </c>
      <c r="F171">
        <v>1</v>
      </c>
      <c r="G171" s="2">
        <v>350</v>
      </c>
      <c r="H171" s="2"/>
      <c r="I171" t="s">
        <v>323</v>
      </c>
      <c r="J171" s="3">
        <v>0.03</v>
      </c>
      <c r="K171" s="4">
        <f t="shared" si="10"/>
        <v>10.5</v>
      </c>
      <c r="L171" t="str">
        <f t="shared" si="8"/>
        <v>Maio</v>
      </c>
    </row>
    <row r="172" spans="1:12" x14ac:dyDescent="0.25">
      <c r="A172">
        <v>171</v>
      </c>
      <c r="B172" s="1">
        <v>45785</v>
      </c>
      <c r="C172" t="s">
        <v>10</v>
      </c>
      <c r="D172" t="s">
        <v>58</v>
      </c>
      <c r="E172" t="s">
        <v>14</v>
      </c>
      <c r="F172">
        <v>1</v>
      </c>
      <c r="G172" s="2">
        <v>2500</v>
      </c>
      <c r="H172" s="2">
        <v>241.91</v>
      </c>
      <c r="I172" t="s">
        <v>32</v>
      </c>
      <c r="J172" s="3">
        <v>0.03</v>
      </c>
      <c r="K172" s="4">
        <f t="shared" si="10"/>
        <v>75</v>
      </c>
      <c r="L172" t="str">
        <f t="shared" si="8"/>
        <v>Maio</v>
      </c>
    </row>
    <row r="173" spans="1:12" x14ac:dyDescent="0.25">
      <c r="A173">
        <v>172</v>
      </c>
      <c r="B173" s="1">
        <v>45785</v>
      </c>
      <c r="C173" t="s">
        <v>10</v>
      </c>
      <c r="D173" t="s">
        <v>59</v>
      </c>
      <c r="E173" t="s">
        <v>39</v>
      </c>
      <c r="F173">
        <v>1</v>
      </c>
      <c r="G173" s="2">
        <v>10000</v>
      </c>
      <c r="H173" s="2">
        <v>1610.26</v>
      </c>
      <c r="I173" t="s">
        <v>32</v>
      </c>
      <c r="J173" s="3">
        <v>0.03</v>
      </c>
      <c r="K173" s="4">
        <f t="shared" si="10"/>
        <v>300</v>
      </c>
      <c r="L173" t="str">
        <f t="shared" si="8"/>
        <v>Maio</v>
      </c>
    </row>
    <row r="174" spans="1:12" x14ac:dyDescent="0.25">
      <c r="A174">
        <v>173</v>
      </c>
      <c r="B174" s="1">
        <v>45785</v>
      </c>
      <c r="C174" t="s">
        <v>10</v>
      </c>
      <c r="D174" t="s">
        <v>60</v>
      </c>
      <c r="E174" t="s">
        <v>28</v>
      </c>
      <c r="F174">
        <v>1</v>
      </c>
      <c r="G174" s="2">
        <v>2500</v>
      </c>
      <c r="H174" s="2">
        <v>351.15</v>
      </c>
      <c r="I174" t="s">
        <v>32</v>
      </c>
      <c r="J174" s="3">
        <v>0.03</v>
      </c>
      <c r="K174" s="4">
        <f t="shared" si="10"/>
        <v>75</v>
      </c>
      <c r="L174" t="str">
        <f t="shared" si="8"/>
        <v>Maio</v>
      </c>
    </row>
    <row r="175" spans="1:12" x14ac:dyDescent="0.25">
      <c r="A175">
        <v>174</v>
      </c>
      <c r="B175" s="1">
        <v>45785</v>
      </c>
      <c r="C175" t="s">
        <v>10</v>
      </c>
      <c r="D175" t="s">
        <v>61</v>
      </c>
      <c r="E175" t="s">
        <v>18</v>
      </c>
      <c r="F175">
        <v>1</v>
      </c>
      <c r="G175" s="2">
        <v>1000</v>
      </c>
      <c r="H175" s="2"/>
      <c r="I175" t="s">
        <v>32</v>
      </c>
      <c r="J175" s="3">
        <v>0.03</v>
      </c>
      <c r="K175" s="4">
        <f t="shared" si="10"/>
        <v>30</v>
      </c>
      <c r="L175" t="str">
        <f t="shared" si="8"/>
        <v>Maio</v>
      </c>
    </row>
    <row r="176" spans="1:12" x14ac:dyDescent="0.25">
      <c r="A176">
        <v>175</v>
      </c>
      <c r="B176" s="1">
        <v>45785</v>
      </c>
      <c r="C176" t="s">
        <v>10</v>
      </c>
      <c r="D176" t="s">
        <v>62</v>
      </c>
      <c r="E176" t="s">
        <v>16</v>
      </c>
      <c r="F176">
        <v>1</v>
      </c>
      <c r="G176" s="2">
        <v>350</v>
      </c>
      <c r="H176" s="2"/>
      <c r="I176" t="s">
        <v>32</v>
      </c>
      <c r="J176" s="3">
        <v>0.03</v>
      </c>
      <c r="K176" s="4">
        <f t="shared" si="10"/>
        <v>10.5</v>
      </c>
      <c r="L176" t="str">
        <f t="shared" si="8"/>
        <v>Maio</v>
      </c>
    </row>
    <row r="177" spans="1:12" x14ac:dyDescent="0.25">
      <c r="A177">
        <v>176</v>
      </c>
      <c r="B177" s="1">
        <v>45785</v>
      </c>
      <c r="C177" t="s">
        <v>10</v>
      </c>
      <c r="D177" t="s">
        <v>63</v>
      </c>
      <c r="E177" t="s">
        <v>11</v>
      </c>
      <c r="F177">
        <v>1</v>
      </c>
      <c r="G177" s="2">
        <v>590</v>
      </c>
      <c r="H177" s="2">
        <v>39.06</v>
      </c>
      <c r="I177" t="s">
        <v>32</v>
      </c>
      <c r="J177" s="3">
        <v>0.03</v>
      </c>
      <c r="K177" s="4">
        <f t="shared" si="10"/>
        <v>17.7</v>
      </c>
      <c r="L177" t="str">
        <f t="shared" si="8"/>
        <v>Maio</v>
      </c>
    </row>
    <row r="178" spans="1:12" x14ac:dyDescent="0.25">
      <c r="A178">
        <v>177</v>
      </c>
      <c r="B178" s="1">
        <v>45785</v>
      </c>
      <c r="C178" t="s">
        <v>10</v>
      </c>
      <c r="D178" t="s">
        <v>64</v>
      </c>
      <c r="E178" t="s">
        <v>13</v>
      </c>
      <c r="F178">
        <v>1</v>
      </c>
      <c r="G178" s="2">
        <v>700</v>
      </c>
      <c r="H178" s="2"/>
      <c r="I178" t="s">
        <v>32</v>
      </c>
      <c r="J178" s="3">
        <v>0.03</v>
      </c>
      <c r="K178" s="4">
        <f t="shared" si="10"/>
        <v>21</v>
      </c>
      <c r="L178" t="str">
        <f t="shared" si="8"/>
        <v>Maio</v>
      </c>
    </row>
    <row r="179" spans="1:12" x14ac:dyDescent="0.25">
      <c r="A179">
        <v>178</v>
      </c>
      <c r="B179" s="1">
        <v>45785</v>
      </c>
      <c r="C179" t="s">
        <v>10</v>
      </c>
      <c r="D179" t="s">
        <v>65</v>
      </c>
      <c r="E179" t="s">
        <v>13</v>
      </c>
      <c r="F179">
        <v>1</v>
      </c>
      <c r="G179" s="2">
        <v>1200</v>
      </c>
      <c r="H179" s="2">
        <v>53.4</v>
      </c>
      <c r="I179" t="s">
        <v>32</v>
      </c>
      <c r="J179" s="3">
        <v>0.03</v>
      </c>
      <c r="K179" s="4">
        <f t="shared" si="10"/>
        <v>36</v>
      </c>
      <c r="L179" t="str">
        <f t="shared" si="8"/>
        <v>Maio</v>
      </c>
    </row>
    <row r="180" spans="1:12" x14ac:dyDescent="0.25">
      <c r="A180">
        <v>179</v>
      </c>
      <c r="B180" s="1">
        <v>45785</v>
      </c>
      <c r="C180" t="s">
        <v>10</v>
      </c>
      <c r="D180" t="s">
        <v>66</v>
      </c>
      <c r="E180" t="s">
        <v>13</v>
      </c>
      <c r="F180">
        <v>1</v>
      </c>
      <c r="G180" s="2">
        <v>3000</v>
      </c>
      <c r="H180" s="2">
        <v>421.38</v>
      </c>
      <c r="I180" t="s">
        <v>32</v>
      </c>
      <c r="J180" s="3">
        <v>0.03</v>
      </c>
      <c r="K180" s="4">
        <f t="shared" si="10"/>
        <v>90</v>
      </c>
      <c r="L180" t="str">
        <f t="shared" si="8"/>
        <v>Maio</v>
      </c>
    </row>
    <row r="181" spans="1:12" x14ac:dyDescent="0.25">
      <c r="A181">
        <v>180</v>
      </c>
      <c r="B181" s="1">
        <v>45785</v>
      </c>
      <c r="C181" t="s">
        <v>10</v>
      </c>
      <c r="D181" t="s">
        <v>67</v>
      </c>
      <c r="E181" t="s">
        <v>13</v>
      </c>
      <c r="F181">
        <v>1</v>
      </c>
      <c r="G181" s="2">
        <v>700</v>
      </c>
      <c r="H181" s="2">
        <v>46.35</v>
      </c>
      <c r="I181" t="s">
        <v>32</v>
      </c>
      <c r="J181" s="3">
        <v>0.03</v>
      </c>
      <c r="K181" s="4">
        <f t="shared" si="10"/>
        <v>21</v>
      </c>
      <c r="L181" t="str">
        <f t="shared" si="8"/>
        <v>Maio</v>
      </c>
    </row>
    <row r="182" spans="1:12" x14ac:dyDescent="0.25">
      <c r="A182">
        <v>181</v>
      </c>
      <c r="B182" s="1">
        <v>45785</v>
      </c>
      <c r="C182" t="s">
        <v>10</v>
      </c>
      <c r="D182" t="s">
        <v>68</v>
      </c>
      <c r="E182" t="s">
        <v>16</v>
      </c>
      <c r="F182">
        <v>1</v>
      </c>
      <c r="G182" s="2">
        <v>300</v>
      </c>
      <c r="H182" s="2"/>
      <c r="I182" t="s">
        <v>32</v>
      </c>
      <c r="J182" s="3">
        <v>0.03</v>
      </c>
      <c r="K182" s="4">
        <f t="shared" si="10"/>
        <v>9</v>
      </c>
      <c r="L182" t="str">
        <f t="shared" si="8"/>
        <v>Maio</v>
      </c>
    </row>
    <row r="183" spans="1:12" x14ac:dyDescent="0.25">
      <c r="A183">
        <v>182</v>
      </c>
      <c r="B183" s="1">
        <v>45785</v>
      </c>
      <c r="C183" t="s">
        <v>10</v>
      </c>
      <c r="D183" t="s">
        <v>69</v>
      </c>
      <c r="E183" t="s">
        <v>16</v>
      </c>
      <c r="F183">
        <v>1</v>
      </c>
      <c r="G183" s="2">
        <v>350</v>
      </c>
      <c r="H183" s="2"/>
      <c r="I183" t="s">
        <v>32</v>
      </c>
      <c r="J183" s="3">
        <v>0.03</v>
      </c>
      <c r="K183" s="4">
        <f t="shared" si="10"/>
        <v>10.5</v>
      </c>
      <c r="L183" t="str">
        <f t="shared" si="8"/>
        <v>Maio</v>
      </c>
    </row>
    <row r="184" spans="1:12" x14ac:dyDescent="0.25">
      <c r="A184">
        <v>183</v>
      </c>
      <c r="B184" s="1">
        <v>45785</v>
      </c>
      <c r="C184" t="s">
        <v>10</v>
      </c>
      <c r="D184" t="s">
        <v>64</v>
      </c>
      <c r="E184" t="s">
        <v>13</v>
      </c>
      <c r="F184">
        <v>1</v>
      </c>
      <c r="G184" s="2">
        <v>900</v>
      </c>
      <c r="H184" s="2"/>
      <c r="I184" t="s">
        <v>32</v>
      </c>
      <c r="J184" s="3">
        <v>0.03</v>
      </c>
      <c r="K184" s="4">
        <f t="shared" si="10"/>
        <v>27</v>
      </c>
      <c r="L184" t="str">
        <f t="shared" si="8"/>
        <v>Maio</v>
      </c>
    </row>
    <row r="185" spans="1:12" x14ac:dyDescent="0.25">
      <c r="A185">
        <v>184</v>
      </c>
      <c r="B185" s="1">
        <v>45785</v>
      </c>
      <c r="C185" t="s">
        <v>10</v>
      </c>
      <c r="D185" t="s">
        <v>70</v>
      </c>
      <c r="E185" t="s">
        <v>31</v>
      </c>
      <c r="F185">
        <v>1</v>
      </c>
      <c r="G185" s="2">
        <v>1500</v>
      </c>
      <c r="H185" s="2">
        <v>96.92</v>
      </c>
      <c r="I185" t="s">
        <v>32</v>
      </c>
      <c r="J185" s="3">
        <v>0.03</v>
      </c>
      <c r="K185" s="4">
        <f t="shared" si="10"/>
        <v>45</v>
      </c>
      <c r="L185" t="str">
        <f t="shared" si="8"/>
        <v>Maio</v>
      </c>
    </row>
    <row r="186" spans="1:12" x14ac:dyDescent="0.25">
      <c r="A186">
        <v>185</v>
      </c>
      <c r="B186" s="1">
        <v>45785</v>
      </c>
      <c r="C186" t="s">
        <v>10</v>
      </c>
      <c r="D186" t="s">
        <v>71</v>
      </c>
      <c r="E186" t="s">
        <v>13</v>
      </c>
      <c r="F186">
        <v>1</v>
      </c>
      <c r="G186" s="2">
        <v>3000</v>
      </c>
      <c r="H186" s="2">
        <v>417.09</v>
      </c>
      <c r="I186" t="s">
        <v>32</v>
      </c>
      <c r="J186" s="3">
        <v>0.03</v>
      </c>
      <c r="K186" s="4">
        <f t="shared" si="10"/>
        <v>90</v>
      </c>
      <c r="L186" t="str">
        <f t="shared" si="8"/>
        <v>Maio</v>
      </c>
    </row>
    <row r="187" spans="1:12" x14ac:dyDescent="0.25">
      <c r="A187">
        <v>186</v>
      </c>
      <c r="B187" s="1">
        <v>45785</v>
      </c>
      <c r="C187" t="s">
        <v>10</v>
      </c>
      <c r="D187" t="s">
        <v>72</v>
      </c>
      <c r="E187" t="s">
        <v>26</v>
      </c>
      <c r="F187">
        <v>1</v>
      </c>
      <c r="G187" s="2">
        <v>300</v>
      </c>
      <c r="H187" s="2"/>
      <c r="I187" t="s">
        <v>32</v>
      </c>
      <c r="J187" s="3">
        <v>0.03</v>
      </c>
      <c r="K187" s="4">
        <f t="shared" si="10"/>
        <v>9</v>
      </c>
      <c r="L187" t="str">
        <f t="shared" si="8"/>
        <v>Maio</v>
      </c>
    </row>
    <row r="188" spans="1:12" x14ac:dyDescent="0.25">
      <c r="A188">
        <v>187</v>
      </c>
      <c r="B188" s="1">
        <v>45785</v>
      </c>
      <c r="C188" t="s">
        <v>10</v>
      </c>
      <c r="D188" t="s">
        <v>73</v>
      </c>
      <c r="E188" t="s">
        <v>13</v>
      </c>
      <c r="F188">
        <v>1</v>
      </c>
      <c r="G188" s="2">
        <v>3000</v>
      </c>
      <c r="H188" s="2">
        <v>278.06</v>
      </c>
      <c r="I188" t="s">
        <v>32</v>
      </c>
      <c r="J188" s="3">
        <v>0.03</v>
      </c>
      <c r="K188" s="4">
        <f t="shared" ref="K188:K219" si="11">G188*J188</f>
        <v>90</v>
      </c>
      <c r="L188" t="str">
        <f t="shared" si="8"/>
        <v>Maio</v>
      </c>
    </row>
    <row r="189" spans="1:12" x14ac:dyDescent="0.25">
      <c r="A189">
        <v>188</v>
      </c>
      <c r="B189" s="1">
        <v>45790</v>
      </c>
      <c r="C189" t="s">
        <v>10</v>
      </c>
      <c r="D189" t="s">
        <v>74</v>
      </c>
      <c r="E189" t="s">
        <v>11</v>
      </c>
      <c r="F189">
        <v>1</v>
      </c>
      <c r="G189" s="2">
        <v>600</v>
      </c>
      <c r="H189" s="2">
        <v>39.729999999999997</v>
      </c>
      <c r="I189" t="s">
        <v>323</v>
      </c>
      <c r="J189" s="3">
        <v>0.03</v>
      </c>
      <c r="K189" s="4">
        <f t="shared" si="11"/>
        <v>18</v>
      </c>
      <c r="L189" t="str">
        <f t="shared" si="8"/>
        <v>Maio</v>
      </c>
    </row>
    <row r="190" spans="1:12" x14ac:dyDescent="0.25">
      <c r="A190">
        <v>189</v>
      </c>
      <c r="B190" s="1">
        <v>45790</v>
      </c>
      <c r="C190" t="s">
        <v>10</v>
      </c>
      <c r="D190" t="s">
        <v>75</v>
      </c>
      <c r="E190" t="s">
        <v>13</v>
      </c>
      <c r="F190">
        <v>1</v>
      </c>
      <c r="G190" s="2">
        <v>600</v>
      </c>
      <c r="H190" s="2"/>
      <c r="I190" t="s">
        <v>32</v>
      </c>
      <c r="J190" s="3">
        <v>0.03</v>
      </c>
      <c r="K190" s="4">
        <f t="shared" si="11"/>
        <v>18</v>
      </c>
      <c r="L190" t="str">
        <f t="shared" si="8"/>
        <v>Maio</v>
      </c>
    </row>
    <row r="191" spans="1:12" x14ac:dyDescent="0.25">
      <c r="A191">
        <v>190</v>
      </c>
      <c r="B191" s="1">
        <v>45790</v>
      </c>
      <c r="C191" t="s">
        <v>10</v>
      </c>
      <c r="D191" t="s">
        <v>76</v>
      </c>
      <c r="E191" t="s">
        <v>13</v>
      </c>
      <c r="F191">
        <v>1</v>
      </c>
      <c r="G191" s="2">
        <v>700</v>
      </c>
      <c r="H191" s="2">
        <v>5.24</v>
      </c>
      <c r="I191" t="s">
        <v>32</v>
      </c>
      <c r="J191" s="3">
        <v>0.03</v>
      </c>
      <c r="K191" s="4">
        <f t="shared" si="11"/>
        <v>21</v>
      </c>
      <c r="L191" t="str">
        <f t="shared" si="8"/>
        <v>Maio</v>
      </c>
    </row>
    <row r="192" spans="1:12" x14ac:dyDescent="0.25">
      <c r="A192">
        <v>191</v>
      </c>
      <c r="B192" s="1">
        <v>45790</v>
      </c>
      <c r="C192" t="s">
        <v>10</v>
      </c>
      <c r="D192" t="s">
        <v>77</v>
      </c>
      <c r="E192" t="s">
        <v>13</v>
      </c>
      <c r="F192">
        <v>1</v>
      </c>
      <c r="G192" s="2">
        <v>700</v>
      </c>
      <c r="H192" s="2">
        <v>30.19</v>
      </c>
      <c r="I192" t="s">
        <v>32</v>
      </c>
      <c r="J192" s="3">
        <v>0.03</v>
      </c>
      <c r="K192" s="4">
        <f t="shared" si="11"/>
        <v>21</v>
      </c>
      <c r="L192" t="str">
        <f t="shared" si="8"/>
        <v>Maio</v>
      </c>
    </row>
    <row r="193" spans="1:12" x14ac:dyDescent="0.25">
      <c r="A193">
        <v>192</v>
      </c>
      <c r="B193" s="1">
        <v>45790</v>
      </c>
      <c r="C193" t="s">
        <v>10</v>
      </c>
      <c r="D193" t="s">
        <v>78</v>
      </c>
      <c r="E193" t="s">
        <v>16</v>
      </c>
      <c r="F193">
        <v>1</v>
      </c>
      <c r="G193" s="2">
        <v>350</v>
      </c>
      <c r="H193" s="2">
        <v>15.1</v>
      </c>
      <c r="I193" t="s">
        <v>32</v>
      </c>
      <c r="J193" s="3">
        <v>0.03</v>
      </c>
      <c r="K193" s="4">
        <f t="shared" si="11"/>
        <v>10.5</v>
      </c>
      <c r="L193" t="str">
        <f t="shared" si="8"/>
        <v>Maio</v>
      </c>
    </row>
    <row r="194" spans="1:12" x14ac:dyDescent="0.25">
      <c r="A194">
        <v>193</v>
      </c>
      <c r="B194" s="1">
        <v>45790</v>
      </c>
      <c r="C194" t="s">
        <v>10</v>
      </c>
      <c r="D194" t="s">
        <v>79</v>
      </c>
      <c r="E194" t="s">
        <v>11</v>
      </c>
      <c r="F194">
        <v>1</v>
      </c>
      <c r="G194" s="2">
        <v>600</v>
      </c>
      <c r="H194" s="2">
        <v>39.729999999999997</v>
      </c>
      <c r="I194" t="s">
        <v>32</v>
      </c>
      <c r="J194" s="3">
        <v>0.03</v>
      </c>
      <c r="K194" s="4">
        <f t="shared" si="11"/>
        <v>18</v>
      </c>
      <c r="L194" t="str">
        <f t="shared" ref="L194:L243" si="12">PROPER(TEXT(B194,"mmmm"))</f>
        <v>Maio</v>
      </c>
    </row>
    <row r="195" spans="1:12" x14ac:dyDescent="0.25">
      <c r="A195">
        <v>194</v>
      </c>
      <c r="B195" s="1">
        <v>45790</v>
      </c>
      <c r="C195" t="s">
        <v>10</v>
      </c>
      <c r="D195" t="s">
        <v>80</v>
      </c>
      <c r="E195" t="s">
        <v>13</v>
      </c>
      <c r="F195">
        <v>1</v>
      </c>
      <c r="G195" s="2">
        <v>600</v>
      </c>
      <c r="H195" s="2">
        <v>7.86</v>
      </c>
      <c r="I195" t="s">
        <v>32</v>
      </c>
      <c r="J195" s="3">
        <v>0.03</v>
      </c>
      <c r="K195" s="4">
        <f t="shared" si="11"/>
        <v>18</v>
      </c>
      <c r="L195" t="str">
        <f t="shared" si="12"/>
        <v>Maio</v>
      </c>
    </row>
    <row r="196" spans="1:12" x14ac:dyDescent="0.25">
      <c r="A196">
        <v>195</v>
      </c>
      <c r="B196" s="1">
        <v>45791</v>
      </c>
      <c r="C196" t="s">
        <v>10</v>
      </c>
      <c r="D196" t="s">
        <v>81</v>
      </c>
      <c r="E196" t="s">
        <v>26</v>
      </c>
      <c r="F196">
        <v>1</v>
      </c>
      <c r="G196" s="2">
        <v>5000</v>
      </c>
      <c r="H196" s="2">
        <v>387.14</v>
      </c>
      <c r="I196" t="s">
        <v>32</v>
      </c>
      <c r="J196" s="3">
        <v>0.03</v>
      </c>
      <c r="K196" s="4">
        <f t="shared" si="11"/>
        <v>150</v>
      </c>
      <c r="L196" t="str">
        <f t="shared" si="12"/>
        <v>Maio</v>
      </c>
    </row>
    <row r="197" spans="1:12" x14ac:dyDescent="0.25">
      <c r="A197">
        <v>196</v>
      </c>
      <c r="B197" s="1">
        <v>45792</v>
      </c>
      <c r="C197" t="s">
        <v>10</v>
      </c>
      <c r="D197" t="s">
        <v>82</v>
      </c>
      <c r="E197" t="s">
        <v>13</v>
      </c>
      <c r="F197">
        <v>1</v>
      </c>
      <c r="G197" s="2">
        <v>500</v>
      </c>
      <c r="H197" s="2"/>
      <c r="I197" t="s">
        <v>32</v>
      </c>
      <c r="J197" s="3">
        <v>0.03</v>
      </c>
      <c r="K197" s="4">
        <f t="shared" si="11"/>
        <v>15</v>
      </c>
      <c r="L197" t="str">
        <f t="shared" si="12"/>
        <v>Maio</v>
      </c>
    </row>
    <row r="198" spans="1:12" x14ac:dyDescent="0.25">
      <c r="A198">
        <v>197</v>
      </c>
      <c r="B198" s="1">
        <v>45792</v>
      </c>
      <c r="C198" t="s">
        <v>10</v>
      </c>
      <c r="D198" t="s">
        <v>83</v>
      </c>
      <c r="E198" t="s">
        <v>11</v>
      </c>
      <c r="F198">
        <v>1</v>
      </c>
      <c r="G198" s="2">
        <v>600</v>
      </c>
      <c r="H198" s="2">
        <v>7.86</v>
      </c>
      <c r="I198" t="s">
        <v>32</v>
      </c>
      <c r="J198" s="3">
        <v>0.03</v>
      </c>
      <c r="K198" s="4">
        <f t="shared" si="11"/>
        <v>18</v>
      </c>
      <c r="L198" t="str">
        <f t="shared" si="12"/>
        <v>Maio</v>
      </c>
    </row>
    <row r="199" spans="1:12" x14ac:dyDescent="0.25">
      <c r="A199">
        <v>198</v>
      </c>
      <c r="B199" s="1">
        <v>45792</v>
      </c>
      <c r="C199" t="s">
        <v>10</v>
      </c>
      <c r="D199" t="s">
        <v>84</v>
      </c>
      <c r="E199" t="s">
        <v>31</v>
      </c>
      <c r="F199">
        <v>1</v>
      </c>
      <c r="G199" s="2">
        <v>1300</v>
      </c>
      <c r="H199" s="2">
        <v>17.03</v>
      </c>
      <c r="I199" t="s">
        <v>32</v>
      </c>
      <c r="J199" s="3">
        <v>0.03</v>
      </c>
      <c r="K199" s="4">
        <f t="shared" si="11"/>
        <v>39</v>
      </c>
      <c r="L199" t="str">
        <f t="shared" si="12"/>
        <v>Maio</v>
      </c>
    </row>
    <row r="200" spans="1:12" x14ac:dyDescent="0.25">
      <c r="A200">
        <v>199</v>
      </c>
      <c r="B200" s="1">
        <v>45792</v>
      </c>
      <c r="C200" t="s">
        <v>10</v>
      </c>
      <c r="D200" t="s">
        <v>85</v>
      </c>
      <c r="E200" t="s">
        <v>11</v>
      </c>
      <c r="F200">
        <v>1</v>
      </c>
      <c r="G200" s="2">
        <v>300</v>
      </c>
      <c r="H200" s="2">
        <v>16.86</v>
      </c>
      <c r="I200" t="s">
        <v>32</v>
      </c>
      <c r="J200" s="3">
        <v>0.03</v>
      </c>
      <c r="K200" s="4">
        <f t="shared" si="11"/>
        <v>9</v>
      </c>
      <c r="L200" t="str">
        <f t="shared" si="12"/>
        <v>Maio</v>
      </c>
    </row>
    <row r="201" spans="1:12" x14ac:dyDescent="0.25">
      <c r="A201">
        <v>200</v>
      </c>
      <c r="B201" s="1">
        <v>45792</v>
      </c>
      <c r="C201" t="s">
        <v>10</v>
      </c>
      <c r="D201" t="s">
        <v>85</v>
      </c>
      <c r="E201" t="s">
        <v>11</v>
      </c>
      <c r="F201">
        <v>1</v>
      </c>
      <c r="G201" s="2">
        <v>300</v>
      </c>
      <c r="H201" s="2">
        <v>16.86</v>
      </c>
      <c r="I201" t="s">
        <v>32</v>
      </c>
      <c r="J201" s="3">
        <v>0.03</v>
      </c>
      <c r="K201" s="4">
        <f t="shared" si="11"/>
        <v>9</v>
      </c>
      <c r="L201" t="str">
        <f t="shared" si="12"/>
        <v>Maio</v>
      </c>
    </row>
    <row r="202" spans="1:12" x14ac:dyDescent="0.25">
      <c r="A202">
        <v>201</v>
      </c>
      <c r="B202" s="1">
        <v>45792</v>
      </c>
      <c r="C202" t="s">
        <v>10</v>
      </c>
      <c r="D202" t="s">
        <v>86</v>
      </c>
      <c r="E202" t="s">
        <v>11</v>
      </c>
      <c r="F202">
        <v>1</v>
      </c>
      <c r="G202" s="2">
        <v>600</v>
      </c>
      <c r="H202" s="2">
        <v>7.86</v>
      </c>
      <c r="I202" t="s">
        <v>32</v>
      </c>
      <c r="J202" s="3">
        <v>0.03</v>
      </c>
      <c r="K202" s="4">
        <f t="shared" si="11"/>
        <v>18</v>
      </c>
      <c r="L202" t="str">
        <f t="shared" si="12"/>
        <v>Maio</v>
      </c>
    </row>
    <row r="203" spans="1:12" x14ac:dyDescent="0.25">
      <c r="A203">
        <v>202</v>
      </c>
      <c r="B203" s="1">
        <v>45792</v>
      </c>
      <c r="C203" t="s">
        <v>10</v>
      </c>
      <c r="D203" t="s">
        <v>58</v>
      </c>
      <c r="E203" t="s">
        <v>13</v>
      </c>
      <c r="F203">
        <v>1</v>
      </c>
      <c r="G203" s="2">
        <v>3000</v>
      </c>
      <c r="H203" s="2">
        <v>3.93</v>
      </c>
      <c r="I203" t="s">
        <v>32</v>
      </c>
      <c r="J203" s="3">
        <v>0.03</v>
      </c>
      <c r="K203" s="4">
        <f t="shared" si="11"/>
        <v>90</v>
      </c>
      <c r="L203" t="str">
        <f t="shared" si="12"/>
        <v>Maio</v>
      </c>
    </row>
    <row r="204" spans="1:12" x14ac:dyDescent="0.25">
      <c r="A204">
        <v>203</v>
      </c>
      <c r="B204" s="1">
        <v>45792</v>
      </c>
      <c r="C204" t="s">
        <v>10</v>
      </c>
      <c r="D204" t="s">
        <v>87</v>
      </c>
      <c r="E204" t="s">
        <v>40</v>
      </c>
      <c r="F204">
        <v>1</v>
      </c>
      <c r="G204" s="2">
        <v>1500</v>
      </c>
      <c r="H204" s="2">
        <v>114.49</v>
      </c>
      <c r="I204" t="s">
        <v>32</v>
      </c>
      <c r="J204" s="3">
        <v>0.03</v>
      </c>
      <c r="K204" s="4">
        <f t="shared" si="11"/>
        <v>45</v>
      </c>
      <c r="L204" t="str">
        <f t="shared" si="12"/>
        <v>Maio</v>
      </c>
    </row>
    <row r="205" spans="1:12" x14ac:dyDescent="0.25">
      <c r="A205">
        <v>204</v>
      </c>
      <c r="B205" s="1">
        <v>45792</v>
      </c>
      <c r="C205" t="s">
        <v>10</v>
      </c>
      <c r="D205" t="s">
        <v>88</v>
      </c>
      <c r="E205" t="s">
        <v>15</v>
      </c>
      <c r="F205">
        <v>1</v>
      </c>
      <c r="G205" s="2">
        <v>3000</v>
      </c>
      <c r="H205" s="2">
        <v>39.300000000000182</v>
      </c>
      <c r="I205" t="s">
        <v>32</v>
      </c>
      <c r="J205" s="3">
        <v>0.03</v>
      </c>
      <c r="K205" s="4">
        <f t="shared" si="11"/>
        <v>90</v>
      </c>
      <c r="L205" t="str">
        <f t="shared" si="12"/>
        <v>Maio</v>
      </c>
    </row>
    <row r="206" spans="1:12" x14ac:dyDescent="0.25">
      <c r="A206">
        <v>205</v>
      </c>
      <c r="B206" s="1">
        <v>45792</v>
      </c>
      <c r="C206" t="s">
        <v>10</v>
      </c>
      <c r="D206" t="s">
        <v>89</v>
      </c>
      <c r="E206" t="s">
        <v>31</v>
      </c>
      <c r="F206">
        <v>1</v>
      </c>
      <c r="G206" s="2">
        <v>300</v>
      </c>
      <c r="H206" s="2">
        <v>3.9300000000000068</v>
      </c>
      <c r="I206" t="s">
        <v>32</v>
      </c>
      <c r="J206" s="3">
        <v>0.03</v>
      </c>
      <c r="K206" s="4">
        <f t="shared" si="11"/>
        <v>9</v>
      </c>
      <c r="L206" t="str">
        <f t="shared" si="12"/>
        <v>Maio</v>
      </c>
    </row>
    <row r="207" spans="1:12" x14ac:dyDescent="0.25">
      <c r="A207">
        <v>206</v>
      </c>
      <c r="B207" s="1">
        <v>45792</v>
      </c>
      <c r="C207" t="s">
        <v>10</v>
      </c>
      <c r="D207" t="s">
        <v>90</v>
      </c>
      <c r="E207" t="s">
        <v>20</v>
      </c>
      <c r="F207">
        <v>1</v>
      </c>
      <c r="G207" s="2">
        <v>300</v>
      </c>
      <c r="H207" s="2"/>
      <c r="I207" t="s">
        <v>32</v>
      </c>
      <c r="J207" s="3">
        <v>0.03</v>
      </c>
      <c r="K207" s="4">
        <f t="shared" si="11"/>
        <v>9</v>
      </c>
      <c r="L207" t="str">
        <f t="shared" si="12"/>
        <v>Maio</v>
      </c>
    </row>
    <row r="208" spans="1:12" x14ac:dyDescent="0.25">
      <c r="A208">
        <v>207</v>
      </c>
      <c r="B208" s="1">
        <v>45792</v>
      </c>
      <c r="C208" t="s">
        <v>10</v>
      </c>
      <c r="D208" t="s">
        <v>56</v>
      </c>
      <c r="E208" t="s">
        <v>13</v>
      </c>
      <c r="F208">
        <v>1</v>
      </c>
      <c r="G208" s="2">
        <v>3350</v>
      </c>
      <c r="H208" s="2">
        <v>470.5300000000002</v>
      </c>
      <c r="I208" t="s">
        <v>32</v>
      </c>
      <c r="J208" s="3">
        <v>0.03</v>
      </c>
      <c r="K208" s="4">
        <f t="shared" si="11"/>
        <v>100.5</v>
      </c>
      <c r="L208" t="str">
        <f t="shared" si="12"/>
        <v>Maio</v>
      </c>
    </row>
    <row r="209" spans="1:12" x14ac:dyDescent="0.25">
      <c r="A209">
        <v>208</v>
      </c>
      <c r="B209" s="1">
        <v>45796</v>
      </c>
      <c r="C209" t="s">
        <v>10</v>
      </c>
      <c r="D209" t="s">
        <v>91</v>
      </c>
      <c r="E209" t="s">
        <v>23</v>
      </c>
      <c r="F209">
        <v>1</v>
      </c>
      <c r="G209" s="2">
        <v>600</v>
      </c>
      <c r="H209" s="2"/>
      <c r="I209" t="s">
        <v>32</v>
      </c>
      <c r="J209" s="3">
        <v>0.03</v>
      </c>
      <c r="K209" s="4">
        <f t="shared" si="11"/>
        <v>18</v>
      </c>
      <c r="L209" t="str">
        <f t="shared" si="12"/>
        <v>Maio</v>
      </c>
    </row>
    <row r="210" spans="1:12" x14ac:dyDescent="0.25">
      <c r="A210">
        <v>209</v>
      </c>
      <c r="B210" s="1">
        <v>45796</v>
      </c>
      <c r="C210" t="s">
        <v>10</v>
      </c>
      <c r="D210" t="s">
        <v>92</v>
      </c>
      <c r="E210" t="s">
        <v>13</v>
      </c>
      <c r="F210">
        <v>1</v>
      </c>
      <c r="G210" s="2">
        <v>3000</v>
      </c>
      <c r="H210" s="2"/>
      <c r="I210" t="s">
        <v>323</v>
      </c>
      <c r="J210" s="3">
        <v>0.03</v>
      </c>
      <c r="K210" s="4">
        <f t="shared" si="11"/>
        <v>90</v>
      </c>
      <c r="L210" t="str">
        <f t="shared" si="12"/>
        <v>Maio</v>
      </c>
    </row>
    <row r="211" spans="1:12" x14ac:dyDescent="0.25">
      <c r="A211">
        <v>210</v>
      </c>
      <c r="B211" s="1">
        <v>45796</v>
      </c>
      <c r="C211" t="s">
        <v>10</v>
      </c>
      <c r="D211" t="s">
        <v>45</v>
      </c>
      <c r="E211" t="s">
        <v>16</v>
      </c>
      <c r="F211">
        <v>1</v>
      </c>
      <c r="G211" s="2">
        <v>300</v>
      </c>
      <c r="H211" s="2"/>
      <c r="I211" t="s">
        <v>32</v>
      </c>
      <c r="J211" s="3">
        <v>0.03</v>
      </c>
      <c r="K211" s="4">
        <f t="shared" si="11"/>
        <v>9</v>
      </c>
      <c r="L211" t="str">
        <f t="shared" si="12"/>
        <v>Maio</v>
      </c>
    </row>
    <row r="212" spans="1:12" x14ac:dyDescent="0.25">
      <c r="A212">
        <v>211</v>
      </c>
      <c r="B212" s="1">
        <v>45796</v>
      </c>
      <c r="C212" t="s">
        <v>10</v>
      </c>
      <c r="D212" t="s">
        <v>93</v>
      </c>
      <c r="E212" t="s">
        <v>13</v>
      </c>
      <c r="F212">
        <v>1</v>
      </c>
      <c r="G212" s="2">
        <v>500</v>
      </c>
      <c r="H212" s="2"/>
      <c r="I212" t="s">
        <v>32</v>
      </c>
      <c r="J212" s="3">
        <v>0.03</v>
      </c>
      <c r="K212" s="4">
        <f t="shared" si="11"/>
        <v>15</v>
      </c>
      <c r="L212" t="str">
        <f t="shared" si="12"/>
        <v>Maio</v>
      </c>
    </row>
    <row r="213" spans="1:12" x14ac:dyDescent="0.25">
      <c r="A213">
        <v>212</v>
      </c>
      <c r="B213" s="1">
        <v>45796</v>
      </c>
      <c r="C213" t="s">
        <v>10</v>
      </c>
      <c r="D213" t="s">
        <v>94</v>
      </c>
      <c r="E213" t="s">
        <v>16</v>
      </c>
      <c r="F213">
        <v>1</v>
      </c>
      <c r="G213" s="2">
        <v>350</v>
      </c>
      <c r="H213" s="2"/>
      <c r="I213" t="s">
        <v>32</v>
      </c>
      <c r="J213" s="3">
        <v>0.03</v>
      </c>
      <c r="K213" s="4">
        <f t="shared" si="11"/>
        <v>10.5</v>
      </c>
      <c r="L213" t="str">
        <f t="shared" si="12"/>
        <v>Maio</v>
      </c>
    </row>
    <row r="214" spans="1:12" x14ac:dyDescent="0.25">
      <c r="A214">
        <v>213</v>
      </c>
      <c r="B214" s="1">
        <v>45796</v>
      </c>
      <c r="C214" t="s">
        <v>10</v>
      </c>
      <c r="D214" t="s">
        <v>95</v>
      </c>
      <c r="E214" t="s">
        <v>11</v>
      </c>
      <c r="F214">
        <v>1</v>
      </c>
      <c r="G214" s="2">
        <v>600</v>
      </c>
      <c r="H214" s="2">
        <v>7.8600000000000136</v>
      </c>
      <c r="I214" t="s">
        <v>32</v>
      </c>
      <c r="J214" s="3">
        <v>0.03</v>
      </c>
      <c r="K214" s="4">
        <f t="shared" si="11"/>
        <v>18</v>
      </c>
      <c r="L214" t="str">
        <f t="shared" si="12"/>
        <v>Maio</v>
      </c>
    </row>
    <row r="215" spans="1:12" x14ac:dyDescent="0.25">
      <c r="A215">
        <v>214</v>
      </c>
      <c r="B215" s="1">
        <v>45796</v>
      </c>
      <c r="C215" t="s">
        <v>10</v>
      </c>
      <c r="D215" t="s">
        <v>96</v>
      </c>
      <c r="E215" t="s">
        <v>26</v>
      </c>
      <c r="F215">
        <v>1</v>
      </c>
      <c r="G215" s="2">
        <v>700</v>
      </c>
      <c r="H215" s="2">
        <v>9.1699999999999591</v>
      </c>
      <c r="I215" t="s">
        <v>32</v>
      </c>
      <c r="J215" s="3">
        <v>0.03</v>
      </c>
      <c r="K215" s="4">
        <f t="shared" si="11"/>
        <v>21</v>
      </c>
      <c r="L215" t="str">
        <f t="shared" si="12"/>
        <v>Maio</v>
      </c>
    </row>
    <row r="216" spans="1:12" x14ac:dyDescent="0.25">
      <c r="A216">
        <v>215</v>
      </c>
      <c r="B216" s="1">
        <v>45796</v>
      </c>
      <c r="C216" t="s">
        <v>10</v>
      </c>
      <c r="D216" t="s">
        <v>97</v>
      </c>
      <c r="E216" t="s">
        <v>31</v>
      </c>
      <c r="F216">
        <v>1</v>
      </c>
      <c r="G216" s="2">
        <v>1300</v>
      </c>
      <c r="H216" s="2">
        <v>99</v>
      </c>
      <c r="I216" t="s">
        <v>32</v>
      </c>
      <c r="J216" s="3">
        <v>0.03</v>
      </c>
      <c r="K216" s="4">
        <f t="shared" si="11"/>
        <v>39</v>
      </c>
      <c r="L216" t="str">
        <f t="shared" si="12"/>
        <v>Maio</v>
      </c>
    </row>
    <row r="217" spans="1:12" x14ac:dyDescent="0.25">
      <c r="A217">
        <v>216</v>
      </c>
      <c r="B217" s="1">
        <v>45796</v>
      </c>
      <c r="C217" t="s">
        <v>10</v>
      </c>
      <c r="D217" t="s">
        <v>48</v>
      </c>
      <c r="E217" t="s">
        <v>16</v>
      </c>
      <c r="F217">
        <v>1</v>
      </c>
      <c r="G217" s="2">
        <v>350</v>
      </c>
      <c r="H217" s="2">
        <v>4.589999999999975</v>
      </c>
      <c r="I217" t="s">
        <v>32</v>
      </c>
      <c r="J217" s="3">
        <v>0.03</v>
      </c>
      <c r="K217" s="4">
        <f t="shared" si="11"/>
        <v>10.5</v>
      </c>
      <c r="L217" t="str">
        <f t="shared" si="12"/>
        <v>Maio</v>
      </c>
    </row>
    <row r="218" spans="1:12" x14ac:dyDescent="0.25">
      <c r="A218">
        <v>217</v>
      </c>
      <c r="B218" s="1">
        <v>45796</v>
      </c>
      <c r="C218" t="s">
        <v>10</v>
      </c>
      <c r="D218" t="s">
        <v>98</v>
      </c>
      <c r="E218" t="s">
        <v>31</v>
      </c>
      <c r="F218">
        <v>1</v>
      </c>
      <c r="G218" s="2">
        <v>2700</v>
      </c>
      <c r="H218" s="2">
        <v>205.61000000000013</v>
      </c>
      <c r="I218" t="s">
        <v>32</v>
      </c>
      <c r="J218" s="3">
        <v>0.03</v>
      </c>
      <c r="K218" s="4">
        <f t="shared" si="11"/>
        <v>81</v>
      </c>
      <c r="L218" t="str">
        <f t="shared" si="12"/>
        <v>Maio</v>
      </c>
    </row>
    <row r="219" spans="1:12" x14ac:dyDescent="0.25">
      <c r="A219">
        <v>218</v>
      </c>
      <c r="B219" s="1">
        <v>45796</v>
      </c>
      <c r="C219" t="s">
        <v>10</v>
      </c>
      <c r="D219" t="s">
        <v>99</v>
      </c>
      <c r="E219" t="s">
        <v>16</v>
      </c>
      <c r="F219">
        <v>1</v>
      </c>
      <c r="G219" s="2">
        <v>150</v>
      </c>
      <c r="H219" s="2"/>
      <c r="I219" t="s">
        <v>32</v>
      </c>
      <c r="J219" s="3">
        <v>0.03</v>
      </c>
      <c r="K219" s="4">
        <f t="shared" si="11"/>
        <v>4.5</v>
      </c>
      <c r="L219" t="str">
        <f t="shared" si="12"/>
        <v>Maio</v>
      </c>
    </row>
    <row r="220" spans="1:12" x14ac:dyDescent="0.25">
      <c r="A220">
        <v>219</v>
      </c>
      <c r="B220" s="1">
        <v>45796</v>
      </c>
      <c r="C220" t="s">
        <v>10</v>
      </c>
      <c r="D220" t="s">
        <v>100</v>
      </c>
      <c r="E220" t="s">
        <v>13</v>
      </c>
      <c r="F220">
        <v>1</v>
      </c>
      <c r="G220" s="2">
        <v>450</v>
      </c>
      <c r="H220" s="2">
        <v>34.269999999999982</v>
      </c>
      <c r="I220" t="s">
        <v>32</v>
      </c>
      <c r="J220" s="3">
        <v>0.03</v>
      </c>
      <c r="K220" s="4">
        <f t="shared" ref="K220:K243" si="13">G220*J220</f>
        <v>13.5</v>
      </c>
      <c r="L220" t="str">
        <f t="shared" si="12"/>
        <v>Maio</v>
      </c>
    </row>
    <row r="221" spans="1:12" x14ac:dyDescent="0.25">
      <c r="A221">
        <v>220</v>
      </c>
      <c r="B221" s="1">
        <v>45796</v>
      </c>
      <c r="C221" t="s">
        <v>10</v>
      </c>
      <c r="D221" t="s">
        <v>100</v>
      </c>
      <c r="E221" t="s">
        <v>13</v>
      </c>
      <c r="F221">
        <v>1</v>
      </c>
      <c r="G221" s="2">
        <v>150</v>
      </c>
      <c r="H221" s="2"/>
      <c r="I221" t="s">
        <v>32</v>
      </c>
      <c r="J221" s="3">
        <v>0.03</v>
      </c>
      <c r="K221" s="4">
        <f t="shared" si="13"/>
        <v>4.5</v>
      </c>
      <c r="L221" t="str">
        <f t="shared" si="12"/>
        <v>Maio</v>
      </c>
    </row>
    <row r="222" spans="1:12" x14ac:dyDescent="0.25">
      <c r="A222">
        <v>221</v>
      </c>
      <c r="B222" s="1">
        <v>45797</v>
      </c>
      <c r="C222" t="s">
        <v>10</v>
      </c>
      <c r="D222" t="s">
        <v>100</v>
      </c>
      <c r="E222" t="s">
        <v>11</v>
      </c>
      <c r="F222">
        <v>1</v>
      </c>
      <c r="G222" s="2">
        <v>100</v>
      </c>
      <c r="H222" s="2">
        <v>4.3900000000000006</v>
      </c>
      <c r="I222" t="s">
        <v>32</v>
      </c>
      <c r="J222" s="3">
        <v>0.03</v>
      </c>
      <c r="K222" s="4">
        <f t="shared" si="13"/>
        <v>3</v>
      </c>
      <c r="L222" t="str">
        <f t="shared" si="12"/>
        <v>Maio</v>
      </c>
    </row>
    <row r="223" spans="1:12" x14ac:dyDescent="0.25">
      <c r="A223">
        <v>222</v>
      </c>
      <c r="B223" s="1">
        <v>45797</v>
      </c>
      <c r="C223" t="s">
        <v>38</v>
      </c>
      <c r="D223" t="s">
        <v>105</v>
      </c>
      <c r="E223" t="s">
        <v>26</v>
      </c>
      <c r="F223">
        <v>1</v>
      </c>
      <c r="G223" s="2">
        <v>600</v>
      </c>
      <c r="H223" s="2">
        <v>33.92999999999995</v>
      </c>
      <c r="I223" t="s">
        <v>32</v>
      </c>
      <c r="J223" s="3">
        <v>0.03</v>
      </c>
      <c r="K223" s="4">
        <f t="shared" si="13"/>
        <v>18</v>
      </c>
      <c r="L223" t="str">
        <f t="shared" si="12"/>
        <v>Maio</v>
      </c>
    </row>
    <row r="224" spans="1:12" x14ac:dyDescent="0.25">
      <c r="A224">
        <v>223</v>
      </c>
      <c r="B224" s="1">
        <v>45798</v>
      </c>
      <c r="C224" t="s">
        <v>10</v>
      </c>
      <c r="D224" t="s">
        <v>101</v>
      </c>
      <c r="E224" t="s">
        <v>11</v>
      </c>
      <c r="F224">
        <v>1</v>
      </c>
      <c r="G224" s="2">
        <v>1100</v>
      </c>
      <c r="H224" s="2"/>
      <c r="I224" t="s">
        <v>32</v>
      </c>
      <c r="J224" s="3">
        <v>0.03</v>
      </c>
      <c r="K224" s="4">
        <f t="shared" si="13"/>
        <v>33</v>
      </c>
      <c r="L224" t="str">
        <f t="shared" si="12"/>
        <v>Maio</v>
      </c>
    </row>
    <row r="225" spans="1:12" x14ac:dyDescent="0.25">
      <c r="A225">
        <v>224</v>
      </c>
      <c r="B225" s="1">
        <v>45798</v>
      </c>
      <c r="C225" t="s">
        <v>10</v>
      </c>
      <c r="D225" t="s">
        <v>67</v>
      </c>
      <c r="E225" t="s">
        <v>13</v>
      </c>
      <c r="F225">
        <v>1</v>
      </c>
      <c r="G225" s="2">
        <v>1000</v>
      </c>
      <c r="H225" s="2">
        <v>86.63</v>
      </c>
      <c r="I225" t="s">
        <v>32</v>
      </c>
      <c r="J225" s="3">
        <v>0.03</v>
      </c>
      <c r="K225" s="4">
        <f t="shared" si="13"/>
        <v>30</v>
      </c>
      <c r="L225" t="str">
        <f t="shared" si="12"/>
        <v>Maio</v>
      </c>
    </row>
    <row r="226" spans="1:12" x14ac:dyDescent="0.25">
      <c r="A226">
        <v>225</v>
      </c>
      <c r="B226" s="1">
        <v>45798</v>
      </c>
      <c r="C226" t="s">
        <v>10</v>
      </c>
      <c r="D226" t="s">
        <v>102</v>
      </c>
      <c r="E226" t="s">
        <v>13</v>
      </c>
      <c r="F226">
        <v>1</v>
      </c>
      <c r="G226" s="2">
        <v>500</v>
      </c>
      <c r="H226" s="2">
        <v>6.5500000000000114</v>
      </c>
      <c r="I226" t="s">
        <v>32</v>
      </c>
      <c r="J226" s="3">
        <v>0.03</v>
      </c>
      <c r="K226" s="4">
        <f t="shared" si="13"/>
        <v>15</v>
      </c>
      <c r="L226" t="str">
        <f t="shared" si="12"/>
        <v>Maio</v>
      </c>
    </row>
    <row r="227" spans="1:12" x14ac:dyDescent="0.25">
      <c r="A227">
        <v>226</v>
      </c>
      <c r="B227" s="1">
        <v>45798</v>
      </c>
      <c r="C227" t="s">
        <v>10</v>
      </c>
      <c r="D227" t="s">
        <v>103</v>
      </c>
      <c r="E227" t="s">
        <v>15</v>
      </c>
      <c r="F227">
        <v>1</v>
      </c>
      <c r="G227" s="2">
        <v>1500</v>
      </c>
      <c r="H227" s="2"/>
      <c r="I227" t="s">
        <v>32</v>
      </c>
      <c r="J227" s="3">
        <v>0.03</v>
      </c>
      <c r="K227" s="4">
        <f t="shared" si="13"/>
        <v>45</v>
      </c>
      <c r="L227" t="str">
        <f t="shared" si="12"/>
        <v>Maio</v>
      </c>
    </row>
    <row r="228" spans="1:12" x14ac:dyDescent="0.25">
      <c r="A228">
        <v>227</v>
      </c>
      <c r="B228" s="1">
        <v>45798</v>
      </c>
      <c r="C228" t="s">
        <v>10</v>
      </c>
      <c r="D228" t="s">
        <v>106</v>
      </c>
      <c r="E228" t="s">
        <v>13</v>
      </c>
      <c r="F228">
        <v>1</v>
      </c>
      <c r="G228" s="2">
        <v>500</v>
      </c>
      <c r="H228" s="2"/>
      <c r="I228" t="s">
        <v>32</v>
      </c>
      <c r="J228" s="3">
        <v>0.03</v>
      </c>
      <c r="K228" s="4">
        <f t="shared" si="13"/>
        <v>15</v>
      </c>
      <c r="L228" t="str">
        <f t="shared" si="12"/>
        <v>Maio</v>
      </c>
    </row>
    <row r="229" spans="1:12" x14ac:dyDescent="0.25">
      <c r="A229">
        <v>228</v>
      </c>
      <c r="B229" s="1">
        <v>45799</v>
      </c>
      <c r="C229" t="s">
        <v>10</v>
      </c>
      <c r="D229" t="s">
        <v>107</v>
      </c>
      <c r="E229" t="s">
        <v>20</v>
      </c>
      <c r="F229">
        <v>1</v>
      </c>
      <c r="G229" s="2">
        <v>350</v>
      </c>
      <c r="H229" s="2"/>
      <c r="I229" t="s">
        <v>32</v>
      </c>
      <c r="J229" s="3">
        <v>0.03</v>
      </c>
      <c r="K229" s="4">
        <f t="shared" si="13"/>
        <v>10.5</v>
      </c>
      <c r="L229" t="str">
        <f t="shared" si="12"/>
        <v>Maio</v>
      </c>
    </row>
    <row r="230" spans="1:12" x14ac:dyDescent="0.25">
      <c r="A230">
        <v>229</v>
      </c>
      <c r="B230" s="1">
        <v>45799</v>
      </c>
      <c r="C230" t="s">
        <v>10</v>
      </c>
      <c r="D230" t="s">
        <v>108</v>
      </c>
      <c r="E230" t="s">
        <v>23</v>
      </c>
      <c r="F230">
        <v>1</v>
      </c>
      <c r="G230" s="2">
        <v>600</v>
      </c>
      <c r="H230" s="2">
        <v>4.59</v>
      </c>
      <c r="I230" t="s">
        <v>32</v>
      </c>
      <c r="J230" s="3">
        <v>0.03</v>
      </c>
      <c r="K230" s="4">
        <f t="shared" si="13"/>
        <v>18</v>
      </c>
      <c r="L230" t="str">
        <f t="shared" si="12"/>
        <v>Maio</v>
      </c>
    </row>
    <row r="231" spans="1:12" x14ac:dyDescent="0.25">
      <c r="A231">
        <v>230</v>
      </c>
      <c r="B231" s="1">
        <v>45799</v>
      </c>
      <c r="C231" t="s">
        <v>10</v>
      </c>
      <c r="D231" t="s">
        <v>51</v>
      </c>
      <c r="E231" t="s">
        <v>15</v>
      </c>
      <c r="F231">
        <v>1</v>
      </c>
      <c r="G231" s="2">
        <v>1800</v>
      </c>
      <c r="H231" s="2"/>
      <c r="I231" t="s">
        <v>323</v>
      </c>
      <c r="J231" s="3">
        <v>0.03</v>
      </c>
      <c r="K231" s="4">
        <f t="shared" si="13"/>
        <v>54</v>
      </c>
      <c r="L231" t="str">
        <f t="shared" si="12"/>
        <v>Maio</v>
      </c>
    </row>
    <row r="232" spans="1:12" x14ac:dyDescent="0.25">
      <c r="A232">
        <v>231</v>
      </c>
      <c r="B232" s="1">
        <v>45799</v>
      </c>
      <c r="C232" t="s">
        <v>10</v>
      </c>
      <c r="D232" t="s">
        <v>89</v>
      </c>
      <c r="E232" t="s">
        <v>31</v>
      </c>
      <c r="F232">
        <v>1</v>
      </c>
      <c r="G232" s="2">
        <v>1000</v>
      </c>
      <c r="H232" s="2">
        <v>23.579999999999927</v>
      </c>
      <c r="I232" t="s">
        <v>32</v>
      </c>
      <c r="J232" s="3">
        <v>0.03</v>
      </c>
      <c r="K232" s="4">
        <f t="shared" si="13"/>
        <v>30</v>
      </c>
      <c r="L232" t="str">
        <f t="shared" si="12"/>
        <v>Maio</v>
      </c>
    </row>
    <row r="233" spans="1:12" x14ac:dyDescent="0.25">
      <c r="A233">
        <v>232</v>
      </c>
      <c r="B233" s="1">
        <v>45799</v>
      </c>
      <c r="C233" t="s">
        <v>10</v>
      </c>
      <c r="D233" t="s">
        <v>58</v>
      </c>
      <c r="E233" t="s">
        <v>12</v>
      </c>
      <c r="F233">
        <v>1</v>
      </c>
      <c r="G233" s="2">
        <v>4000</v>
      </c>
      <c r="H233" s="2">
        <v>140.60000000000002</v>
      </c>
      <c r="I233" t="s">
        <v>32</v>
      </c>
      <c r="J233" s="3">
        <v>0.03</v>
      </c>
      <c r="K233" s="4">
        <f t="shared" si="13"/>
        <v>120</v>
      </c>
      <c r="L233" t="str">
        <f t="shared" si="12"/>
        <v>Maio</v>
      </c>
    </row>
    <row r="234" spans="1:12" x14ac:dyDescent="0.25">
      <c r="A234">
        <v>233</v>
      </c>
      <c r="B234" s="1">
        <v>45799</v>
      </c>
      <c r="C234" t="s">
        <v>10</v>
      </c>
      <c r="D234" t="s">
        <v>109</v>
      </c>
      <c r="E234" t="s">
        <v>13</v>
      </c>
      <c r="F234">
        <v>1</v>
      </c>
      <c r="G234" s="2">
        <v>3000</v>
      </c>
      <c r="H234" s="2"/>
      <c r="I234" t="s">
        <v>32</v>
      </c>
      <c r="J234" s="3">
        <v>0.03</v>
      </c>
      <c r="K234" s="4">
        <f t="shared" si="13"/>
        <v>90</v>
      </c>
      <c r="L234" t="str">
        <f t="shared" si="12"/>
        <v>Maio</v>
      </c>
    </row>
    <row r="235" spans="1:12" x14ac:dyDescent="0.25">
      <c r="A235">
        <v>234</v>
      </c>
      <c r="B235" s="1">
        <v>45799</v>
      </c>
      <c r="C235" t="s">
        <v>10</v>
      </c>
      <c r="D235" t="s">
        <v>110</v>
      </c>
      <c r="E235" t="s">
        <v>13</v>
      </c>
      <c r="F235">
        <v>1</v>
      </c>
      <c r="G235" s="2">
        <v>4000</v>
      </c>
      <c r="H235" s="2">
        <v>198.65000000000009</v>
      </c>
      <c r="I235" t="s">
        <v>32</v>
      </c>
      <c r="J235" s="3">
        <v>0.03</v>
      </c>
      <c r="K235" s="4">
        <f t="shared" si="13"/>
        <v>120</v>
      </c>
      <c r="L235" t="str">
        <f t="shared" si="12"/>
        <v>Maio</v>
      </c>
    </row>
    <row r="236" spans="1:12" x14ac:dyDescent="0.25">
      <c r="A236">
        <v>235</v>
      </c>
      <c r="B236" s="1">
        <v>45800</v>
      </c>
      <c r="C236" t="s">
        <v>10</v>
      </c>
      <c r="D236" t="s">
        <v>111</v>
      </c>
      <c r="E236" t="s">
        <v>13</v>
      </c>
      <c r="F236">
        <v>1</v>
      </c>
      <c r="G236" s="2">
        <v>3000</v>
      </c>
      <c r="H236" s="2">
        <v>34.629999999999995</v>
      </c>
      <c r="I236" t="s">
        <v>32</v>
      </c>
      <c r="J236" s="3">
        <v>0.03</v>
      </c>
      <c r="K236" s="4">
        <f t="shared" si="13"/>
        <v>90</v>
      </c>
      <c r="L236" t="str">
        <f t="shared" si="12"/>
        <v>Maio</v>
      </c>
    </row>
    <row r="237" spans="1:12" x14ac:dyDescent="0.25">
      <c r="A237">
        <v>236</v>
      </c>
      <c r="B237" s="1">
        <v>45803</v>
      </c>
      <c r="C237" t="s">
        <v>10</v>
      </c>
      <c r="D237" t="s">
        <v>91</v>
      </c>
      <c r="E237" t="s">
        <v>12</v>
      </c>
      <c r="F237">
        <v>1</v>
      </c>
      <c r="G237" s="2">
        <v>3400</v>
      </c>
      <c r="H237" s="2">
        <v>286.27</v>
      </c>
      <c r="I237" t="s">
        <v>32</v>
      </c>
      <c r="J237" s="3">
        <v>0.03</v>
      </c>
      <c r="K237" s="4">
        <f t="shared" si="13"/>
        <v>102</v>
      </c>
      <c r="L237" t="str">
        <f t="shared" si="12"/>
        <v>Maio</v>
      </c>
    </row>
    <row r="238" spans="1:12" x14ac:dyDescent="0.25">
      <c r="A238">
        <v>237</v>
      </c>
      <c r="B238" s="1">
        <v>45804</v>
      </c>
      <c r="C238" t="s">
        <v>10</v>
      </c>
      <c r="D238" t="s">
        <v>67</v>
      </c>
      <c r="E238" t="s">
        <v>13</v>
      </c>
      <c r="F238">
        <v>1</v>
      </c>
      <c r="G238" s="2">
        <v>2000</v>
      </c>
      <c r="H238" s="2"/>
      <c r="I238" t="s">
        <v>32</v>
      </c>
      <c r="J238" s="3">
        <v>0.03</v>
      </c>
      <c r="K238" s="4">
        <f t="shared" si="13"/>
        <v>60</v>
      </c>
      <c r="L238" t="str">
        <f t="shared" si="12"/>
        <v>Maio</v>
      </c>
    </row>
    <row r="239" spans="1:12" x14ac:dyDescent="0.25">
      <c r="A239">
        <v>238</v>
      </c>
      <c r="B239" s="1">
        <v>45804</v>
      </c>
      <c r="C239" t="s">
        <v>10</v>
      </c>
      <c r="D239" t="s">
        <v>112</v>
      </c>
      <c r="E239" t="s">
        <v>41</v>
      </c>
      <c r="F239">
        <v>1</v>
      </c>
      <c r="G239" s="2">
        <v>1500</v>
      </c>
      <c r="H239" s="2"/>
      <c r="I239" t="s">
        <v>32</v>
      </c>
      <c r="J239" s="3">
        <v>0.03</v>
      </c>
      <c r="K239" s="4">
        <f t="shared" si="13"/>
        <v>45</v>
      </c>
      <c r="L239" t="str">
        <f t="shared" si="12"/>
        <v>Maio</v>
      </c>
    </row>
    <row r="240" spans="1:12" x14ac:dyDescent="0.25">
      <c r="A240">
        <v>239</v>
      </c>
      <c r="B240" s="1">
        <v>45805</v>
      </c>
      <c r="C240" t="s">
        <v>10</v>
      </c>
      <c r="D240" t="s">
        <v>113</v>
      </c>
      <c r="E240" t="s">
        <v>12</v>
      </c>
      <c r="F240">
        <v>1</v>
      </c>
      <c r="G240" s="2">
        <v>7000</v>
      </c>
      <c r="H240" s="2">
        <v>19.650000000000091</v>
      </c>
      <c r="I240" t="s">
        <v>32</v>
      </c>
      <c r="J240" s="3">
        <v>0.03</v>
      </c>
      <c r="K240" s="4">
        <f t="shared" si="13"/>
        <v>210</v>
      </c>
      <c r="L240" t="str">
        <f t="shared" si="12"/>
        <v>Maio</v>
      </c>
    </row>
    <row r="241" spans="1:12" x14ac:dyDescent="0.25">
      <c r="A241">
        <v>240</v>
      </c>
      <c r="B241" s="1">
        <v>45786</v>
      </c>
      <c r="C241" t="s">
        <v>10</v>
      </c>
      <c r="D241" t="s">
        <v>114</v>
      </c>
      <c r="E241" t="s">
        <v>42</v>
      </c>
      <c r="F241">
        <v>1</v>
      </c>
      <c r="G241" s="2">
        <v>2000</v>
      </c>
      <c r="H241" s="2"/>
      <c r="I241" t="s">
        <v>32</v>
      </c>
      <c r="J241" s="3">
        <v>0.03</v>
      </c>
      <c r="K241" s="4">
        <f t="shared" si="13"/>
        <v>60</v>
      </c>
      <c r="L241" t="str">
        <f t="shared" si="12"/>
        <v>Maio</v>
      </c>
    </row>
    <row r="242" spans="1:12" x14ac:dyDescent="0.25">
      <c r="A242">
        <v>241</v>
      </c>
      <c r="B242" s="1">
        <v>45805</v>
      </c>
      <c r="C242" t="s">
        <v>10</v>
      </c>
      <c r="D242" t="s">
        <v>108</v>
      </c>
      <c r="E242" t="s">
        <v>42</v>
      </c>
      <c r="F242">
        <v>1</v>
      </c>
      <c r="G242" s="2">
        <v>14000</v>
      </c>
      <c r="H242" s="2">
        <v>1965.4500000000007</v>
      </c>
      <c r="I242" t="s">
        <v>32</v>
      </c>
      <c r="J242" s="3">
        <v>0.03</v>
      </c>
      <c r="K242" s="4">
        <f t="shared" si="13"/>
        <v>420</v>
      </c>
      <c r="L242" t="str">
        <f t="shared" si="12"/>
        <v>Maio</v>
      </c>
    </row>
    <row r="243" spans="1:12" x14ac:dyDescent="0.25">
      <c r="A243">
        <v>242</v>
      </c>
      <c r="B243" s="1">
        <v>45810</v>
      </c>
      <c r="C243" t="s">
        <v>10</v>
      </c>
      <c r="D243" t="s">
        <v>230</v>
      </c>
      <c r="E243" t="s">
        <v>40</v>
      </c>
      <c r="F243">
        <v>1</v>
      </c>
      <c r="G243" s="2">
        <v>1500</v>
      </c>
      <c r="H243" s="2">
        <v>114.22</v>
      </c>
      <c r="I243" t="s">
        <v>323</v>
      </c>
      <c r="J243" s="3">
        <v>0.03</v>
      </c>
      <c r="K243" s="4">
        <f t="shared" si="13"/>
        <v>45</v>
      </c>
      <c r="L243" t="str">
        <f t="shared" si="12"/>
        <v>Junho</v>
      </c>
    </row>
    <row r="244" spans="1:12" x14ac:dyDescent="0.25">
      <c r="A244">
        <v>243</v>
      </c>
      <c r="B244" s="1">
        <v>45810</v>
      </c>
      <c r="C244" t="s">
        <v>10</v>
      </c>
      <c r="D244" t="s">
        <v>231</v>
      </c>
      <c r="E244" t="s">
        <v>11</v>
      </c>
      <c r="F244">
        <v>1</v>
      </c>
      <c r="G244" s="2">
        <v>600</v>
      </c>
      <c r="H244" s="2"/>
      <c r="I244" t="s">
        <v>32</v>
      </c>
      <c r="J244" s="3">
        <v>0.03</v>
      </c>
      <c r="K244" s="4">
        <f t="shared" ref="K244:K275" si="14">G244*J244</f>
        <v>18</v>
      </c>
      <c r="L244" t="str">
        <f t="shared" ref="L244:L275" si="15">PROPER(TEXT(B244,"mmmm"))</f>
        <v>Junho</v>
      </c>
    </row>
    <row r="245" spans="1:12" x14ac:dyDescent="0.25">
      <c r="A245">
        <v>244</v>
      </c>
      <c r="B245" s="1">
        <v>45812</v>
      </c>
      <c r="C245" t="s">
        <v>10</v>
      </c>
      <c r="D245" t="s">
        <v>232</v>
      </c>
      <c r="E245" t="s">
        <v>13</v>
      </c>
      <c r="F245">
        <v>1</v>
      </c>
      <c r="G245" s="2">
        <v>5000</v>
      </c>
      <c r="H245" s="2">
        <v>735.69</v>
      </c>
      <c r="I245" t="s">
        <v>32</v>
      </c>
      <c r="J245" s="3">
        <v>0.03</v>
      </c>
      <c r="K245" s="4">
        <f t="shared" si="14"/>
        <v>150</v>
      </c>
      <c r="L245" t="str">
        <f t="shared" si="15"/>
        <v>Junho</v>
      </c>
    </row>
    <row r="246" spans="1:12" x14ac:dyDescent="0.25">
      <c r="A246">
        <v>245</v>
      </c>
      <c r="B246" s="1">
        <v>45812</v>
      </c>
      <c r="C246" t="s">
        <v>10</v>
      </c>
      <c r="D246" t="s">
        <v>179</v>
      </c>
      <c r="E246" t="s">
        <v>11</v>
      </c>
      <c r="F246">
        <v>1</v>
      </c>
      <c r="G246" s="2">
        <v>600</v>
      </c>
      <c r="H246" s="2"/>
      <c r="I246" t="s">
        <v>32</v>
      </c>
      <c r="J246" s="3">
        <v>0.03</v>
      </c>
      <c r="K246" s="4">
        <f t="shared" si="14"/>
        <v>18</v>
      </c>
      <c r="L246" t="str">
        <f t="shared" si="15"/>
        <v>Junho</v>
      </c>
    </row>
    <row r="247" spans="1:12" x14ac:dyDescent="0.25">
      <c r="A247">
        <v>246</v>
      </c>
      <c r="B247" s="1">
        <v>45812</v>
      </c>
      <c r="C247" t="s">
        <v>10</v>
      </c>
      <c r="D247" t="s">
        <v>94</v>
      </c>
      <c r="E247" t="s">
        <v>15</v>
      </c>
      <c r="F247">
        <v>1</v>
      </c>
      <c r="G247" s="2">
        <v>1000</v>
      </c>
      <c r="H247" s="2"/>
      <c r="I247" t="s">
        <v>32</v>
      </c>
      <c r="J247" s="3">
        <v>0.03</v>
      </c>
      <c r="K247" s="4">
        <f t="shared" si="14"/>
        <v>30</v>
      </c>
      <c r="L247" t="str">
        <f t="shared" si="15"/>
        <v>Junho</v>
      </c>
    </row>
    <row r="248" spans="1:12" x14ac:dyDescent="0.25">
      <c r="A248">
        <v>247</v>
      </c>
      <c r="B248" s="1">
        <v>45812</v>
      </c>
      <c r="C248" t="s">
        <v>10</v>
      </c>
      <c r="D248" t="s">
        <v>49</v>
      </c>
      <c r="E248" t="s">
        <v>11</v>
      </c>
      <c r="F248">
        <v>1</v>
      </c>
      <c r="G248" s="2">
        <v>600</v>
      </c>
      <c r="H248" s="2"/>
      <c r="I248" t="s">
        <v>32</v>
      </c>
      <c r="J248" s="3">
        <v>0.03</v>
      </c>
      <c r="K248" s="4">
        <f t="shared" si="14"/>
        <v>18</v>
      </c>
      <c r="L248" t="str">
        <f t="shared" si="15"/>
        <v>Junho</v>
      </c>
    </row>
    <row r="249" spans="1:12" x14ac:dyDescent="0.25">
      <c r="A249">
        <v>248</v>
      </c>
      <c r="B249" s="1">
        <v>45812</v>
      </c>
      <c r="C249" t="s">
        <v>10</v>
      </c>
      <c r="D249" t="s">
        <v>84</v>
      </c>
      <c r="E249" t="s">
        <v>31</v>
      </c>
      <c r="F249">
        <v>1</v>
      </c>
      <c r="G249" s="2">
        <v>1000</v>
      </c>
      <c r="H249" s="2">
        <v>13.1</v>
      </c>
      <c r="I249" t="s">
        <v>32</v>
      </c>
      <c r="J249" s="3">
        <v>0.03</v>
      </c>
      <c r="K249" s="4">
        <f t="shared" si="14"/>
        <v>30</v>
      </c>
      <c r="L249" t="str">
        <f t="shared" si="15"/>
        <v>Junho</v>
      </c>
    </row>
    <row r="250" spans="1:12" x14ac:dyDescent="0.25">
      <c r="A250">
        <v>249</v>
      </c>
      <c r="B250" s="1">
        <v>45813</v>
      </c>
      <c r="C250" t="s">
        <v>10</v>
      </c>
      <c r="D250" t="s">
        <v>233</v>
      </c>
      <c r="E250" t="s">
        <v>16</v>
      </c>
      <c r="F250">
        <v>1</v>
      </c>
      <c r="G250" s="2">
        <v>350</v>
      </c>
      <c r="H250" s="2">
        <v>19.670000000000002</v>
      </c>
      <c r="I250" t="s">
        <v>32</v>
      </c>
      <c r="J250" s="3">
        <v>0.03</v>
      </c>
      <c r="K250" s="4">
        <f t="shared" si="14"/>
        <v>10.5</v>
      </c>
      <c r="L250" t="str">
        <f t="shared" si="15"/>
        <v>Junho</v>
      </c>
    </row>
    <row r="251" spans="1:12" x14ac:dyDescent="0.25">
      <c r="A251">
        <v>250</v>
      </c>
      <c r="B251" s="1">
        <v>45813</v>
      </c>
      <c r="C251" t="s">
        <v>10</v>
      </c>
      <c r="D251" t="s">
        <v>234</v>
      </c>
      <c r="E251" t="s">
        <v>40</v>
      </c>
      <c r="F251">
        <v>1</v>
      </c>
      <c r="G251" s="2">
        <v>1800</v>
      </c>
      <c r="H251" s="2">
        <v>155.91999999999999</v>
      </c>
      <c r="I251" t="s">
        <v>32</v>
      </c>
      <c r="J251" s="3">
        <v>0.03</v>
      </c>
      <c r="K251" s="4">
        <f t="shared" si="14"/>
        <v>54</v>
      </c>
      <c r="L251" t="str">
        <f t="shared" si="15"/>
        <v>Junho</v>
      </c>
    </row>
    <row r="252" spans="1:12" x14ac:dyDescent="0.25">
      <c r="A252">
        <v>251</v>
      </c>
      <c r="B252" s="1">
        <v>45813</v>
      </c>
      <c r="C252" t="s">
        <v>10</v>
      </c>
      <c r="D252" t="s">
        <v>234</v>
      </c>
      <c r="E252" t="s">
        <v>11</v>
      </c>
      <c r="F252">
        <v>1</v>
      </c>
      <c r="G252" s="2">
        <v>600</v>
      </c>
      <c r="H252" s="2">
        <v>39.72</v>
      </c>
      <c r="I252" t="s">
        <v>32</v>
      </c>
      <c r="J252" s="3">
        <v>0.03</v>
      </c>
      <c r="K252" s="4">
        <f t="shared" si="14"/>
        <v>18</v>
      </c>
      <c r="L252" t="str">
        <f t="shared" si="15"/>
        <v>Junho</v>
      </c>
    </row>
    <row r="253" spans="1:12" x14ac:dyDescent="0.25">
      <c r="A253">
        <v>252</v>
      </c>
      <c r="B253" s="1">
        <v>45813</v>
      </c>
      <c r="C253" t="s">
        <v>10</v>
      </c>
      <c r="D253" t="s">
        <v>186</v>
      </c>
      <c r="E253" t="s">
        <v>16</v>
      </c>
      <c r="F253">
        <v>1</v>
      </c>
      <c r="G253" s="2">
        <v>150</v>
      </c>
      <c r="H253" s="2">
        <v>6.67</v>
      </c>
      <c r="I253" t="s">
        <v>32</v>
      </c>
      <c r="J253" s="3">
        <v>0.03</v>
      </c>
      <c r="K253" s="4">
        <f t="shared" si="14"/>
        <v>4.5</v>
      </c>
      <c r="L253" t="str">
        <f t="shared" si="15"/>
        <v>Junho</v>
      </c>
    </row>
    <row r="254" spans="1:12" x14ac:dyDescent="0.25">
      <c r="A254">
        <v>253</v>
      </c>
      <c r="B254" s="1">
        <v>45813</v>
      </c>
      <c r="C254" t="s">
        <v>10</v>
      </c>
      <c r="D254" t="s">
        <v>235</v>
      </c>
      <c r="E254" t="s">
        <v>15</v>
      </c>
      <c r="F254">
        <v>1</v>
      </c>
      <c r="G254" s="2">
        <v>1000</v>
      </c>
      <c r="H254" s="2">
        <v>13.1</v>
      </c>
      <c r="I254" t="s">
        <v>32</v>
      </c>
      <c r="J254" s="3">
        <v>0.03</v>
      </c>
      <c r="K254" s="4">
        <f t="shared" si="14"/>
        <v>30</v>
      </c>
      <c r="L254" t="str">
        <f t="shared" si="15"/>
        <v>Junho</v>
      </c>
    </row>
    <row r="255" spans="1:12" x14ac:dyDescent="0.25">
      <c r="A255">
        <v>254</v>
      </c>
      <c r="B255" s="1">
        <v>45813</v>
      </c>
      <c r="C255" t="s">
        <v>10</v>
      </c>
      <c r="D255" t="s">
        <v>95</v>
      </c>
      <c r="E255" t="s">
        <v>16</v>
      </c>
      <c r="F255">
        <v>1</v>
      </c>
      <c r="G255" s="2">
        <v>350</v>
      </c>
      <c r="H255" s="2">
        <v>4.58</v>
      </c>
      <c r="I255" t="s">
        <v>323</v>
      </c>
      <c r="J255" s="3">
        <v>0.03</v>
      </c>
      <c r="K255" s="4">
        <f t="shared" si="14"/>
        <v>10.5</v>
      </c>
      <c r="L255" t="str">
        <f t="shared" si="15"/>
        <v>Junho</v>
      </c>
    </row>
    <row r="256" spans="1:12" x14ac:dyDescent="0.25">
      <c r="A256">
        <v>255</v>
      </c>
      <c r="B256" s="1">
        <v>45813</v>
      </c>
      <c r="C256" t="s">
        <v>10</v>
      </c>
      <c r="D256" t="s">
        <v>86</v>
      </c>
      <c r="E256" t="s">
        <v>16</v>
      </c>
      <c r="F256">
        <v>1</v>
      </c>
      <c r="G256" s="2">
        <v>350</v>
      </c>
      <c r="H256" s="2"/>
      <c r="I256" t="s">
        <v>32</v>
      </c>
      <c r="J256" s="3">
        <v>0.03</v>
      </c>
      <c r="K256" s="4">
        <f t="shared" si="14"/>
        <v>10.5</v>
      </c>
      <c r="L256" t="str">
        <f t="shared" si="15"/>
        <v>Junho</v>
      </c>
    </row>
    <row r="257" spans="1:12" x14ac:dyDescent="0.25">
      <c r="A257">
        <v>256</v>
      </c>
      <c r="B257" s="1">
        <v>45813</v>
      </c>
      <c r="C257" t="s">
        <v>10</v>
      </c>
      <c r="D257" t="s">
        <v>72</v>
      </c>
      <c r="E257" t="s">
        <v>26</v>
      </c>
      <c r="F257">
        <v>1</v>
      </c>
      <c r="G257" s="2">
        <v>200</v>
      </c>
      <c r="H257" s="2"/>
      <c r="I257" t="s">
        <v>32</v>
      </c>
      <c r="J257" s="3">
        <v>0.03</v>
      </c>
      <c r="K257" s="4">
        <f t="shared" si="14"/>
        <v>6</v>
      </c>
      <c r="L257" t="str">
        <f t="shared" si="15"/>
        <v>Junho</v>
      </c>
    </row>
    <row r="258" spans="1:12" x14ac:dyDescent="0.25">
      <c r="A258">
        <v>257</v>
      </c>
      <c r="B258" s="1">
        <v>45814</v>
      </c>
      <c r="C258" t="s">
        <v>10</v>
      </c>
      <c r="D258" t="s">
        <v>231</v>
      </c>
      <c r="E258" t="s">
        <v>42</v>
      </c>
      <c r="F258">
        <v>1</v>
      </c>
      <c r="G258" s="2">
        <v>5000</v>
      </c>
      <c r="H258" s="2"/>
      <c r="I258" t="s">
        <v>32</v>
      </c>
      <c r="J258" s="3">
        <v>0.03</v>
      </c>
      <c r="K258" s="4">
        <f t="shared" si="14"/>
        <v>150</v>
      </c>
      <c r="L258" t="str">
        <f t="shared" si="15"/>
        <v>Junho</v>
      </c>
    </row>
    <row r="259" spans="1:12" x14ac:dyDescent="0.25">
      <c r="A259">
        <v>258</v>
      </c>
      <c r="B259" s="1">
        <v>45814</v>
      </c>
      <c r="C259" t="s">
        <v>10</v>
      </c>
      <c r="D259" t="s">
        <v>236</v>
      </c>
      <c r="E259" t="s">
        <v>14</v>
      </c>
      <c r="F259">
        <v>1</v>
      </c>
      <c r="G259" s="2">
        <v>250</v>
      </c>
      <c r="H259" s="2"/>
      <c r="I259" t="s">
        <v>32</v>
      </c>
      <c r="J259" s="3">
        <v>0.03</v>
      </c>
      <c r="K259" s="4">
        <f t="shared" si="14"/>
        <v>7.5</v>
      </c>
      <c r="L259" t="str">
        <f t="shared" si="15"/>
        <v>Junho</v>
      </c>
    </row>
    <row r="260" spans="1:12" x14ac:dyDescent="0.25">
      <c r="A260">
        <v>259</v>
      </c>
      <c r="B260" s="1">
        <v>45817</v>
      </c>
      <c r="C260" t="s">
        <v>10</v>
      </c>
      <c r="D260" t="s">
        <v>114</v>
      </c>
      <c r="E260" t="s">
        <v>42</v>
      </c>
      <c r="F260">
        <v>1</v>
      </c>
      <c r="G260" s="2">
        <v>5000</v>
      </c>
      <c r="H260" s="2">
        <v>701.94</v>
      </c>
      <c r="I260" t="s">
        <v>32</v>
      </c>
      <c r="J260" s="3">
        <v>0.03</v>
      </c>
      <c r="K260" s="4">
        <f t="shared" si="14"/>
        <v>150</v>
      </c>
      <c r="L260" t="str">
        <f t="shared" si="15"/>
        <v>Junho</v>
      </c>
    </row>
    <row r="261" spans="1:12" x14ac:dyDescent="0.25">
      <c r="A261">
        <v>260</v>
      </c>
      <c r="B261" s="1">
        <v>45817</v>
      </c>
      <c r="C261" t="s">
        <v>10</v>
      </c>
      <c r="D261" t="s">
        <v>163</v>
      </c>
      <c r="E261" t="s">
        <v>13</v>
      </c>
      <c r="F261">
        <v>1</v>
      </c>
      <c r="G261" s="2">
        <v>700</v>
      </c>
      <c r="H261" s="2">
        <v>30.19</v>
      </c>
      <c r="I261" t="s">
        <v>32</v>
      </c>
      <c r="J261" s="3">
        <v>0.03</v>
      </c>
      <c r="K261" s="4">
        <f t="shared" si="14"/>
        <v>21</v>
      </c>
      <c r="L261" t="str">
        <f t="shared" si="15"/>
        <v>Junho</v>
      </c>
    </row>
    <row r="262" spans="1:12" x14ac:dyDescent="0.25">
      <c r="A262">
        <v>261</v>
      </c>
      <c r="B262" s="1">
        <v>45818</v>
      </c>
      <c r="C262" t="s">
        <v>10</v>
      </c>
      <c r="D262" t="s">
        <v>231</v>
      </c>
      <c r="E262" t="s">
        <v>42</v>
      </c>
      <c r="F262">
        <v>1</v>
      </c>
      <c r="G262" s="2">
        <v>3200</v>
      </c>
      <c r="H262" s="2"/>
      <c r="I262" t="s">
        <v>32</v>
      </c>
      <c r="J262" s="3">
        <v>0.03</v>
      </c>
      <c r="K262" s="4">
        <f t="shared" si="14"/>
        <v>96</v>
      </c>
      <c r="L262" t="str">
        <f t="shared" si="15"/>
        <v>Junho</v>
      </c>
    </row>
    <row r="263" spans="1:12" x14ac:dyDescent="0.25">
      <c r="A263">
        <v>262</v>
      </c>
      <c r="B263" s="1">
        <v>45819</v>
      </c>
      <c r="C263" t="s">
        <v>10</v>
      </c>
      <c r="D263" t="s">
        <v>237</v>
      </c>
      <c r="E263" t="s">
        <v>13</v>
      </c>
      <c r="F263">
        <v>1</v>
      </c>
      <c r="G263" s="2">
        <v>700</v>
      </c>
      <c r="H263" s="2">
        <v>1.31</v>
      </c>
      <c r="I263" t="s">
        <v>323</v>
      </c>
      <c r="J263" s="3">
        <v>0.03</v>
      </c>
      <c r="K263" s="4">
        <f t="shared" si="14"/>
        <v>21</v>
      </c>
      <c r="L263" t="str">
        <f t="shared" si="15"/>
        <v>Junho</v>
      </c>
    </row>
    <row r="264" spans="1:12" x14ac:dyDescent="0.25">
      <c r="A264">
        <v>263</v>
      </c>
      <c r="B264" s="1">
        <v>45819</v>
      </c>
      <c r="C264" t="s">
        <v>10</v>
      </c>
      <c r="D264" t="s">
        <v>61</v>
      </c>
      <c r="E264" t="s">
        <v>13</v>
      </c>
      <c r="F264">
        <v>1</v>
      </c>
      <c r="G264" s="2">
        <v>1000</v>
      </c>
      <c r="H264" s="2"/>
      <c r="I264" t="s">
        <v>32</v>
      </c>
      <c r="J264" s="3">
        <v>0.03</v>
      </c>
      <c r="K264" s="4">
        <f t="shared" si="14"/>
        <v>30</v>
      </c>
      <c r="L264" t="str">
        <f t="shared" si="15"/>
        <v>Junho</v>
      </c>
    </row>
    <row r="265" spans="1:12" x14ac:dyDescent="0.25">
      <c r="A265">
        <v>264</v>
      </c>
      <c r="B265" s="1">
        <v>45819</v>
      </c>
      <c r="C265" t="s">
        <v>10</v>
      </c>
      <c r="D265" t="s">
        <v>208</v>
      </c>
      <c r="E265" t="s">
        <v>13</v>
      </c>
      <c r="F265">
        <v>1</v>
      </c>
      <c r="G265" s="2">
        <v>4800</v>
      </c>
      <c r="H265" s="2"/>
      <c r="I265" t="s">
        <v>32</v>
      </c>
      <c r="J265" s="3">
        <v>0.03</v>
      </c>
      <c r="K265" s="4">
        <f t="shared" si="14"/>
        <v>144</v>
      </c>
      <c r="L265" t="str">
        <f t="shared" si="15"/>
        <v>Junho</v>
      </c>
    </row>
    <row r="266" spans="1:12" x14ac:dyDescent="0.25">
      <c r="A266">
        <v>265</v>
      </c>
      <c r="B266" s="1">
        <v>45819</v>
      </c>
      <c r="C266" t="s">
        <v>10</v>
      </c>
      <c r="D266" t="s">
        <v>165</v>
      </c>
      <c r="E266" t="s">
        <v>251</v>
      </c>
      <c r="F266">
        <v>1</v>
      </c>
      <c r="G266" s="2">
        <v>280</v>
      </c>
      <c r="H266" s="2"/>
      <c r="I266" t="s">
        <v>32</v>
      </c>
      <c r="J266" s="3">
        <v>0.03</v>
      </c>
      <c r="K266" s="4">
        <f t="shared" si="14"/>
        <v>8.4</v>
      </c>
      <c r="L266" t="str">
        <f t="shared" si="15"/>
        <v>Junho</v>
      </c>
    </row>
    <row r="267" spans="1:12" x14ac:dyDescent="0.25">
      <c r="A267">
        <v>266</v>
      </c>
      <c r="B267" s="1">
        <v>45820</v>
      </c>
      <c r="C267" t="s">
        <v>10</v>
      </c>
      <c r="D267" t="s">
        <v>238</v>
      </c>
      <c r="E267" t="s">
        <v>15</v>
      </c>
      <c r="F267">
        <v>1</v>
      </c>
      <c r="G267" s="2">
        <v>1000</v>
      </c>
      <c r="H267" s="2">
        <v>4.5</v>
      </c>
      <c r="I267" t="s">
        <v>32</v>
      </c>
      <c r="J267" s="3">
        <v>0.03</v>
      </c>
      <c r="K267" s="4">
        <f t="shared" si="14"/>
        <v>30</v>
      </c>
      <c r="L267" t="str">
        <f t="shared" si="15"/>
        <v>Junho</v>
      </c>
    </row>
    <row r="268" spans="1:12" x14ac:dyDescent="0.25">
      <c r="A268">
        <v>267</v>
      </c>
      <c r="B268" s="1">
        <v>45820</v>
      </c>
      <c r="C268" t="s">
        <v>10</v>
      </c>
      <c r="D268" t="s">
        <v>179</v>
      </c>
      <c r="E268" t="s">
        <v>13</v>
      </c>
      <c r="F268">
        <v>1</v>
      </c>
      <c r="G268" s="2">
        <v>600</v>
      </c>
      <c r="H268" s="2">
        <v>4.5</v>
      </c>
      <c r="I268" t="s">
        <v>32</v>
      </c>
      <c r="J268" s="3">
        <v>0.03</v>
      </c>
      <c r="K268" s="4">
        <f t="shared" si="14"/>
        <v>18</v>
      </c>
      <c r="L268" t="str">
        <f t="shared" si="15"/>
        <v>Junho</v>
      </c>
    </row>
    <row r="269" spans="1:12" x14ac:dyDescent="0.25">
      <c r="A269">
        <v>268</v>
      </c>
      <c r="B269" s="1">
        <v>45821</v>
      </c>
      <c r="C269" t="s">
        <v>10</v>
      </c>
      <c r="D269" t="s">
        <v>176</v>
      </c>
      <c r="E269" t="s">
        <v>13</v>
      </c>
      <c r="F269">
        <v>1</v>
      </c>
      <c r="G269" s="2">
        <v>2000</v>
      </c>
      <c r="H269" s="2">
        <v>60.99</v>
      </c>
      <c r="I269" t="s">
        <v>32</v>
      </c>
      <c r="J269" s="3">
        <v>0.03</v>
      </c>
      <c r="K269" s="4">
        <f t="shared" si="14"/>
        <v>60</v>
      </c>
      <c r="L269" t="str">
        <f t="shared" si="15"/>
        <v>Junho</v>
      </c>
    </row>
    <row r="270" spans="1:12" x14ac:dyDescent="0.25">
      <c r="A270">
        <v>269</v>
      </c>
      <c r="B270" s="1">
        <v>45821</v>
      </c>
      <c r="C270" t="s">
        <v>10</v>
      </c>
      <c r="D270" t="s">
        <v>239</v>
      </c>
      <c r="E270" t="s">
        <v>13</v>
      </c>
      <c r="F270">
        <v>1</v>
      </c>
      <c r="G270" s="2">
        <v>1400</v>
      </c>
      <c r="H270" s="2">
        <v>96.63</v>
      </c>
      <c r="I270" t="s">
        <v>32</v>
      </c>
      <c r="J270" s="3">
        <v>0.03</v>
      </c>
      <c r="K270" s="4">
        <f t="shared" si="14"/>
        <v>42</v>
      </c>
      <c r="L270" t="str">
        <f t="shared" si="15"/>
        <v>Junho</v>
      </c>
    </row>
    <row r="271" spans="1:12" x14ac:dyDescent="0.25">
      <c r="A271">
        <v>270</v>
      </c>
      <c r="B271" s="1">
        <v>45821</v>
      </c>
      <c r="C271" t="s">
        <v>10</v>
      </c>
      <c r="D271" t="s">
        <v>206</v>
      </c>
      <c r="E271" t="s">
        <v>13</v>
      </c>
      <c r="F271">
        <v>1</v>
      </c>
      <c r="G271" s="2">
        <v>600</v>
      </c>
      <c r="H271" s="2"/>
      <c r="I271" t="s">
        <v>32</v>
      </c>
      <c r="J271" s="3">
        <v>0.03</v>
      </c>
      <c r="K271" s="4">
        <f t="shared" si="14"/>
        <v>18</v>
      </c>
      <c r="L271" t="str">
        <f t="shared" si="15"/>
        <v>Junho</v>
      </c>
    </row>
    <row r="272" spans="1:12" x14ac:dyDescent="0.25">
      <c r="A272">
        <v>271</v>
      </c>
      <c r="B272" s="1">
        <v>45833</v>
      </c>
      <c r="C272" t="s">
        <v>10</v>
      </c>
      <c r="D272" t="s">
        <v>179</v>
      </c>
      <c r="E272" t="s">
        <v>16</v>
      </c>
      <c r="F272">
        <v>1</v>
      </c>
      <c r="G272" s="2">
        <v>350</v>
      </c>
      <c r="H272" s="2"/>
      <c r="I272" t="s">
        <v>32</v>
      </c>
      <c r="J272" s="3">
        <v>0.03</v>
      </c>
      <c r="K272" s="4">
        <f t="shared" si="14"/>
        <v>10.5</v>
      </c>
      <c r="L272" t="str">
        <f t="shared" si="15"/>
        <v>Junho</v>
      </c>
    </row>
    <row r="273" spans="1:12" x14ac:dyDescent="0.25">
      <c r="A273">
        <v>272</v>
      </c>
      <c r="B273" s="1">
        <v>45833</v>
      </c>
      <c r="C273" t="s">
        <v>10</v>
      </c>
      <c r="D273" t="s">
        <v>240</v>
      </c>
      <c r="E273" t="s">
        <v>15</v>
      </c>
      <c r="F273">
        <v>1</v>
      </c>
      <c r="G273" s="2">
        <v>1000</v>
      </c>
      <c r="H273" s="2">
        <v>13.1</v>
      </c>
      <c r="I273" t="s">
        <v>323</v>
      </c>
      <c r="J273" s="3">
        <v>0.03</v>
      </c>
      <c r="K273" s="4">
        <f t="shared" si="14"/>
        <v>30</v>
      </c>
      <c r="L273" t="str">
        <f t="shared" si="15"/>
        <v>Junho</v>
      </c>
    </row>
    <row r="274" spans="1:12" x14ac:dyDescent="0.25">
      <c r="A274">
        <v>273</v>
      </c>
      <c r="B274" s="1">
        <v>45833</v>
      </c>
      <c r="C274" t="s">
        <v>10</v>
      </c>
      <c r="D274" t="s">
        <v>241</v>
      </c>
      <c r="E274" t="s">
        <v>11</v>
      </c>
      <c r="F274">
        <v>1</v>
      </c>
      <c r="G274" s="2">
        <v>600</v>
      </c>
      <c r="H274" s="2"/>
      <c r="I274" t="s">
        <v>32</v>
      </c>
      <c r="J274" s="3">
        <v>0.03</v>
      </c>
      <c r="K274" s="4">
        <f t="shared" si="14"/>
        <v>18</v>
      </c>
      <c r="L274" t="str">
        <f t="shared" si="15"/>
        <v>Junho</v>
      </c>
    </row>
    <row r="275" spans="1:12" x14ac:dyDescent="0.25">
      <c r="A275">
        <v>274</v>
      </c>
      <c r="B275" s="1">
        <v>45833</v>
      </c>
      <c r="C275" t="s">
        <v>10</v>
      </c>
      <c r="D275" t="s">
        <v>242</v>
      </c>
      <c r="E275" t="s">
        <v>12</v>
      </c>
      <c r="F275">
        <v>1</v>
      </c>
      <c r="G275" s="2">
        <v>4000</v>
      </c>
      <c r="H275" s="2">
        <v>123.59</v>
      </c>
      <c r="I275" t="s">
        <v>32</v>
      </c>
      <c r="J275" s="3">
        <v>0.03</v>
      </c>
      <c r="K275" s="4">
        <f t="shared" si="14"/>
        <v>120</v>
      </c>
      <c r="L275" t="str">
        <f t="shared" si="15"/>
        <v>Junho</v>
      </c>
    </row>
    <row r="276" spans="1:12" x14ac:dyDescent="0.25">
      <c r="A276">
        <v>275</v>
      </c>
      <c r="B276" s="1">
        <v>45833</v>
      </c>
      <c r="C276" t="s">
        <v>10</v>
      </c>
      <c r="D276" t="s">
        <v>243</v>
      </c>
      <c r="E276" t="s">
        <v>26</v>
      </c>
      <c r="F276">
        <v>1</v>
      </c>
      <c r="G276" s="2">
        <v>5000</v>
      </c>
      <c r="H276" s="2"/>
      <c r="I276" t="s">
        <v>32</v>
      </c>
      <c r="J276" s="3">
        <v>0.03</v>
      </c>
      <c r="K276" s="4">
        <f t="shared" ref="K276:K296" si="16">G276*J276</f>
        <v>150</v>
      </c>
      <c r="L276" t="str">
        <f t="shared" ref="L276:L296" si="17">PROPER(TEXT(B276,"mmmm"))</f>
        <v>Junho</v>
      </c>
    </row>
    <row r="277" spans="1:12" x14ac:dyDescent="0.25">
      <c r="A277">
        <v>276</v>
      </c>
      <c r="B277" s="1">
        <v>45833</v>
      </c>
      <c r="C277" t="s">
        <v>10</v>
      </c>
      <c r="D277" t="s">
        <v>102</v>
      </c>
      <c r="E277" t="s">
        <v>13</v>
      </c>
      <c r="F277">
        <v>1</v>
      </c>
      <c r="G277" s="2">
        <v>500</v>
      </c>
      <c r="H277" s="2"/>
      <c r="I277" t="s">
        <v>32</v>
      </c>
      <c r="J277" s="3">
        <v>0.03</v>
      </c>
      <c r="K277" s="4">
        <f t="shared" si="16"/>
        <v>15</v>
      </c>
      <c r="L277" t="str">
        <f t="shared" si="17"/>
        <v>Junho</v>
      </c>
    </row>
    <row r="278" spans="1:12" x14ac:dyDescent="0.25">
      <c r="A278">
        <v>277</v>
      </c>
      <c r="B278" s="1">
        <v>45833</v>
      </c>
      <c r="C278" t="s">
        <v>10</v>
      </c>
      <c r="D278" t="s">
        <v>176</v>
      </c>
      <c r="E278" t="s">
        <v>13</v>
      </c>
      <c r="F278">
        <v>1</v>
      </c>
      <c r="G278" s="2">
        <v>1000</v>
      </c>
      <c r="H278" s="2"/>
      <c r="I278" t="s">
        <v>32</v>
      </c>
      <c r="J278" s="3">
        <v>0.03</v>
      </c>
      <c r="K278" s="4">
        <f t="shared" si="16"/>
        <v>30</v>
      </c>
      <c r="L278" t="str">
        <f t="shared" si="17"/>
        <v>Junho</v>
      </c>
    </row>
    <row r="279" spans="1:12" x14ac:dyDescent="0.25">
      <c r="A279">
        <v>278</v>
      </c>
      <c r="B279" s="1">
        <v>45833</v>
      </c>
      <c r="C279" t="s">
        <v>10</v>
      </c>
      <c r="D279" t="s">
        <v>244</v>
      </c>
      <c r="E279" t="s">
        <v>13</v>
      </c>
      <c r="F279">
        <v>1</v>
      </c>
      <c r="G279" s="2">
        <v>700</v>
      </c>
      <c r="H279" s="2">
        <v>25.35</v>
      </c>
      <c r="I279" t="s">
        <v>32</v>
      </c>
      <c r="J279" s="3">
        <v>0.03</v>
      </c>
      <c r="K279" s="4">
        <f t="shared" si="16"/>
        <v>21</v>
      </c>
      <c r="L279" t="str">
        <f t="shared" si="17"/>
        <v>Junho</v>
      </c>
    </row>
    <row r="280" spans="1:12" x14ac:dyDescent="0.25">
      <c r="A280">
        <v>279</v>
      </c>
      <c r="B280" s="1">
        <v>45833</v>
      </c>
      <c r="C280" t="s">
        <v>10</v>
      </c>
      <c r="D280" t="s">
        <v>245</v>
      </c>
      <c r="E280" t="s">
        <v>16</v>
      </c>
      <c r="F280">
        <v>1</v>
      </c>
      <c r="G280" s="2">
        <v>300</v>
      </c>
      <c r="H280" s="2"/>
      <c r="I280" t="s">
        <v>32</v>
      </c>
      <c r="J280" s="3">
        <v>0.03</v>
      </c>
      <c r="K280" s="4">
        <f t="shared" si="16"/>
        <v>9</v>
      </c>
      <c r="L280" t="str">
        <f t="shared" si="17"/>
        <v>Junho</v>
      </c>
    </row>
    <row r="281" spans="1:12" x14ac:dyDescent="0.25">
      <c r="A281">
        <v>280</v>
      </c>
      <c r="B281" s="1">
        <v>45803</v>
      </c>
      <c r="C281" t="s">
        <v>10</v>
      </c>
      <c r="D281" t="s">
        <v>219</v>
      </c>
      <c r="E281" t="s">
        <v>40</v>
      </c>
      <c r="F281">
        <v>1</v>
      </c>
      <c r="G281" s="2">
        <v>3000</v>
      </c>
      <c r="H281" s="2"/>
      <c r="I281" t="s">
        <v>32</v>
      </c>
      <c r="J281" s="3">
        <v>0.03</v>
      </c>
      <c r="K281" s="4">
        <f t="shared" si="16"/>
        <v>90</v>
      </c>
      <c r="L281" t="str">
        <f t="shared" si="17"/>
        <v>Maio</v>
      </c>
    </row>
    <row r="282" spans="1:12" x14ac:dyDescent="0.25">
      <c r="A282">
        <v>281</v>
      </c>
      <c r="B282" s="1">
        <v>45803</v>
      </c>
      <c r="C282" t="s">
        <v>10</v>
      </c>
      <c r="D282" t="s">
        <v>86</v>
      </c>
      <c r="E282" t="s">
        <v>16</v>
      </c>
      <c r="F282">
        <v>1</v>
      </c>
      <c r="G282" s="2">
        <v>350</v>
      </c>
      <c r="H282" s="2"/>
      <c r="I282" t="s">
        <v>32</v>
      </c>
      <c r="J282" s="3">
        <v>0.03</v>
      </c>
      <c r="K282" s="4">
        <f t="shared" si="16"/>
        <v>10.5</v>
      </c>
      <c r="L282" t="str">
        <f t="shared" si="17"/>
        <v>Maio</v>
      </c>
    </row>
    <row r="283" spans="1:12" x14ac:dyDescent="0.25">
      <c r="A283">
        <v>282</v>
      </c>
      <c r="B283" s="1">
        <v>45803</v>
      </c>
      <c r="C283" t="s">
        <v>10</v>
      </c>
      <c r="D283" t="s">
        <v>235</v>
      </c>
      <c r="E283" t="s">
        <v>15</v>
      </c>
      <c r="F283">
        <v>1</v>
      </c>
      <c r="G283" s="2">
        <v>1000</v>
      </c>
      <c r="H283" s="2">
        <v>7.5</v>
      </c>
      <c r="I283" t="s">
        <v>32</v>
      </c>
      <c r="J283" s="3">
        <v>0.03</v>
      </c>
      <c r="K283" s="4">
        <f t="shared" si="16"/>
        <v>30</v>
      </c>
      <c r="L283" t="str">
        <f t="shared" si="17"/>
        <v>Maio</v>
      </c>
    </row>
    <row r="284" spans="1:12" x14ac:dyDescent="0.25">
      <c r="A284">
        <v>283</v>
      </c>
      <c r="B284" s="1">
        <v>45803</v>
      </c>
      <c r="C284" t="s">
        <v>10</v>
      </c>
      <c r="D284" t="s">
        <v>108</v>
      </c>
      <c r="E284" t="s">
        <v>26</v>
      </c>
      <c r="F284">
        <v>1</v>
      </c>
      <c r="G284" s="2">
        <v>3000</v>
      </c>
      <c r="H284" s="2">
        <v>234.52</v>
      </c>
      <c r="I284" t="s">
        <v>32</v>
      </c>
      <c r="J284" s="3">
        <v>0.03</v>
      </c>
      <c r="K284" s="4">
        <f t="shared" si="16"/>
        <v>90</v>
      </c>
      <c r="L284" t="str">
        <f t="shared" si="17"/>
        <v>Maio</v>
      </c>
    </row>
    <row r="285" spans="1:12" x14ac:dyDescent="0.25">
      <c r="A285">
        <v>284</v>
      </c>
      <c r="B285" s="1">
        <v>45834</v>
      </c>
      <c r="C285" t="s">
        <v>10</v>
      </c>
      <c r="D285" t="s">
        <v>246</v>
      </c>
      <c r="E285" t="s">
        <v>13</v>
      </c>
      <c r="F285">
        <v>1</v>
      </c>
      <c r="G285" s="2">
        <v>2700</v>
      </c>
      <c r="H285" s="2">
        <v>140.21</v>
      </c>
      <c r="I285" t="s">
        <v>32</v>
      </c>
      <c r="J285" s="3">
        <v>0.03</v>
      </c>
      <c r="K285" s="4">
        <f t="shared" si="16"/>
        <v>81</v>
      </c>
      <c r="L285" t="str">
        <f t="shared" si="17"/>
        <v>Junho</v>
      </c>
    </row>
    <row r="286" spans="1:12" x14ac:dyDescent="0.25">
      <c r="A286">
        <v>285</v>
      </c>
      <c r="B286" s="1">
        <v>45834</v>
      </c>
      <c r="C286" t="s">
        <v>10</v>
      </c>
      <c r="D286" t="s">
        <v>112</v>
      </c>
      <c r="E286" t="s">
        <v>13</v>
      </c>
      <c r="F286">
        <v>1</v>
      </c>
      <c r="G286" s="2">
        <v>2000</v>
      </c>
      <c r="H286" s="2">
        <v>140.21</v>
      </c>
      <c r="I286" t="s">
        <v>323</v>
      </c>
      <c r="J286" s="3">
        <v>0.03</v>
      </c>
      <c r="K286" s="4">
        <f t="shared" si="16"/>
        <v>60</v>
      </c>
      <c r="L286" t="str">
        <f t="shared" si="17"/>
        <v>Junho</v>
      </c>
    </row>
    <row r="287" spans="1:12" x14ac:dyDescent="0.25">
      <c r="A287">
        <v>286</v>
      </c>
      <c r="B287" s="1">
        <v>45834</v>
      </c>
      <c r="C287" t="s">
        <v>10</v>
      </c>
      <c r="D287" t="s">
        <v>112</v>
      </c>
      <c r="E287" t="s">
        <v>13</v>
      </c>
      <c r="F287">
        <v>1</v>
      </c>
      <c r="G287" s="2">
        <v>2000</v>
      </c>
      <c r="H287" s="2">
        <v>140.21</v>
      </c>
      <c r="I287" t="s">
        <v>32</v>
      </c>
      <c r="J287" s="3">
        <v>0.03</v>
      </c>
      <c r="K287" s="4">
        <f t="shared" si="16"/>
        <v>60</v>
      </c>
      <c r="L287" t="str">
        <f t="shared" si="17"/>
        <v>Junho</v>
      </c>
    </row>
    <row r="288" spans="1:12" x14ac:dyDescent="0.25">
      <c r="A288">
        <v>287</v>
      </c>
      <c r="B288" s="1">
        <v>45834</v>
      </c>
      <c r="C288" t="s">
        <v>10</v>
      </c>
      <c r="D288" t="s">
        <v>247</v>
      </c>
      <c r="E288" t="s">
        <v>16</v>
      </c>
      <c r="F288">
        <v>1</v>
      </c>
      <c r="G288" s="2">
        <v>350</v>
      </c>
      <c r="H288" s="2"/>
      <c r="I288" t="s">
        <v>32</v>
      </c>
      <c r="J288" s="3">
        <v>0.03</v>
      </c>
      <c r="K288" s="4">
        <f t="shared" si="16"/>
        <v>10.5</v>
      </c>
      <c r="L288" t="str">
        <f t="shared" si="17"/>
        <v>Junho</v>
      </c>
    </row>
    <row r="289" spans="1:12" x14ac:dyDescent="0.25">
      <c r="A289">
        <v>288</v>
      </c>
      <c r="B289" s="1">
        <v>45834</v>
      </c>
      <c r="C289" t="s">
        <v>10</v>
      </c>
      <c r="D289" t="s">
        <v>248</v>
      </c>
      <c r="E289" t="s">
        <v>11</v>
      </c>
      <c r="F289">
        <v>1</v>
      </c>
      <c r="G289" s="2">
        <v>600</v>
      </c>
      <c r="H289" s="2">
        <v>27.58</v>
      </c>
      <c r="I289" t="s">
        <v>32</v>
      </c>
      <c r="J289" s="3">
        <v>0.03</v>
      </c>
      <c r="K289" s="4">
        <f t="shared" si="16"/>
        <v>18</v>
      </c>
      <c r="L289" t="str">
        <f t="shared" si="17"/>
        <v>Junho</v>
      </c>
    </row>
    <row r="290" spans="1:12" x14ac:dyDescent="0.25">
      <c r="A290">
        <v>289</v>
      </c>
      <c r="B290" s="1">
        <v>45835</v>
      </c>
      <c r="C290" t="s">
        <v>10</v>
      </c>
      <c r="D290" t="s">
        <v>64</v>
      </c>
      <c r="E290" t="s">
        <v>13</v>
      </c>
      <c r="F290">
        <v>1</v>
      </c>
      <c r="G290" s="2">
        <v>1600</v>
      </c>
      <c r="H290" s="2"/>
      <c r="I290" t="s">
        <v>32</v>
      </c>
      <c r="J290" s="3">
        <v>0.03</v>
      </c>
      <c r="K290" s="4">
        <f t="shared" si="16"/>
        <v>48</v>
      </c>
      <c r="L290" t="str">
        <f t="shared" si="17"/>
        <v>Junho</v>
      </c>
    </row>
    <row r="291" spans="1:12" x14ac:dyDescent="0.25">
      <c r="A291">
        <v>290</v>
      </c>
      <c r="B291" s="1">
        <v>45835</v>
      </c>
      <c r="C291" t="s">
        <v>10</v>
      </c>
      <c r="D291" t="s">
        <v>249</v>
      </c>
      <c r="E291" t="s">
        <v>11</v>
      </c>
      <c r="F291">
        <v>1</v>
      </c>
      <c r="G291" s="2">
        <v>600</v>
      </c>
      <c r="H291" s="2">
        <v>27.58</v>
      </c>
      <c r="I291" t="s">
        <v>323</v>
      </c>
      <c r="J291" s="3">
        <v>0.03</v>
      </c>
      <c r="K291" s="4">
        <f t="shared" si="16"/>
        <v>18</v>
      </c>
      <c r="L291" t="str">
        <f t="shared" si="17"/>
        <v>Junho</v>
      </c>
    </row>
    <row r="292" spans="1:12" x14ac:dyDescent="0.25">
      <c r="A292">
        <v>291</v>
      </c>
      <c r="B292" s="1">
        <v>45835</v>
      </c>
      <c r="C292" t="s">
        <v>10</v>
      </c>
      <c r="D292" t="s">
        <v>77</v>
      </c>
      <c r="E292" t="s">
        <v>13</v>
      </c>
      <c r="F292">
        <v>1</v>
      </c>
      <c r="G292" s="2">
        <v>2500</v>
      </c>
      <c r="H292" s="2">
        <v>240.98</v>
      </c>
      <c r="I292" t="s">
        <v>32</v>
      </c>
      <c r="J292" s="3">
        <v>0.03</v>
      </c>
      <c r="K292" s="4">
        <f t="shared" si="16"/>
        <v>75</v>
      </c>
      <c r="L292" t="str">
        <f t="shared" si="17"/>
        <v>Junho</v>
      </c>
    </row>
    <row r="293" spans="1:12" x14ac:dyDescent="0.25">
      <c r="A293">
        <v>292</v>
      </c>
      <c r="B293" s="1">
        <v>45835</v>
      </c>
      <c r="C293" t="s">
        <v>10</v>
      </c>
      <c r="D293" t="s">
        <v>77</v>
      </c>
      <c r="E293" t="s">
        <v>13</v>
      </c>
      <c r="F293">
        <v>1</v>
      </c>
      <c r="G293" s="2">
        <v>500</v>
      </c>
      <c r="H293" s="2">
        <v>26.32</v>
      </c>
      <c r="I293" t="s">
        <v>32</v>
      </c>
      <c r="J293" s="3">
        <v>0.03</v>
      </c>
      <c r="K293" s="4">
        <f t="shared" si="16"/>
        <v>15</v>
      </c>
      <c r="L293" t="str">
        <f t="shared" si="17"/>
        <v>Junho</v>
      </c>
    </row>
    <row r="294" spans="1:12" x14ac:dyDescent="0.25">
      <c r="A294">
        <v>293</v>
      </c>
      <c r="B294" s="1">
        <v>45835</v>
      </c>
      <c r="C294" t="s">
        <v>10</v>
      </c>
      <c r="D294" t="s">
        <v>103</v>
      </c>
      <c r="E294" t="s">
        <v>15</v>
      </c>
      <c r="F294">
        <v>1</v>
      </c>
      <c r="G294" s="2">
        <v>1490</v>
      </c>
      <c r="H294" s="2"/>
      <c r="I294" t="s">
        <v>32</v>
      </c>
      <c r="J294" s="3">
        <v>0.03</v>
      </c>
      <c r="K294" s="4">
        <f t="shared" si="16"/>
        <v>44.699999999999996</v>
      </c>
      <c r="L294" t="str">
        <f t="shared" si="17"/>
        <v>Junho</v>
      </c>
    </row>
    <row r="295" spans="1:12" x14ac:dyDescent="0.25">
      <c r="A295">
        <v>294</v>
      </c>
      <c r="B295" s="1">
        <v>45835</v>
      </c>
      <c r="C295" t="s">
        <v>10</v>
      </c>
      <c r="D295" t="s">
        <v>250</v>
      </c>
      <c r="E295" t="s">
        <v>12</v>
      </c>
      <c r="F295">
        <v>1</v>
      </c>
      <c r="G295" s="2">
        <v>4000</v>
      </c>
      <c r="H295" s="2"/>
      <c r="I295" t="s">
        <v>32</v>
      </c>
      <c r="J295" s="3">
        <v>0.03</v>
      </c>
      <c r="K295" s="4">
        <f t="shared" si="16"/>
        <v>120</v>
      </c>
      <c r="L295" t="str">
        <f t="shared" si="17"/>
        <v>Junho</v>
      </c>
    </row>
    <row r="296" spans="1:12" x14ac:dyDescent="0.25">
      <c r="A296">
        <v>295</v>
      </c>
      <c r="B296" s="1">
        <v>45838</v>
      </c>
      <c r="C296" t="s">
        <v>10</v>
      </c>
      <c r="D296" t="s">
        <v>235</v>
      </c>
      <c r="E296" t="s">
        <v>13</v>
      </c>
      <c r="F296">
        <v>1</v>
      </c>
      <c r="G296" s="2">
        <v>4700</v>
      </c>
      <c r="H296" s="2"/>
      <c r="I296" t="s">
        <v>32</v>
      </c>
      <c r="J296" s="3">
        <v>0.03</v>
      </c>
      <c r="K296" s="4">
        <f t="shared" si="16"/>
        <v>141</v>
      </c>
      <c r="L296" t="str">
        <f t="shared" si="17"/>
        <v>Junho</v>
      </c>
    </row>
    <row r="297" spans="1:12" x14ac:dyDescent="0.25">
      <c r="A297">
        <v>296</v>
      </c>
      <c r="B297" s="1">
        <v>45811</v>
      </c>
      <c r="C297" t="s">
        <v>38</v>
      </c>
      <c r="D297" t="s">
        <v>252</v>
      </c>
      <c r="E297" t="s">
        <v>13</v>
      </c>
      <c r="F297">
        <v>1</v>
      </c>
      <c r="G297" s="2">
        <v>600</v>
      </c>
      <c r="H297" s="2"/>
      <c r="I297" t="s">
        <v>32</v>
      </c>
      <c r="J297" s="3">
        <v>0.03</v>
      </c>
      <c r="K297" s="4">
        <f t="shared" ref="K297:K327" si="18">G297*J297</f>
        <v>18</v>
      </c>
      <c r="L297" t="str">
        <f t="shared" ref="L297:L327" si="19">PROPER(TEXT(B297,"mmmm"))</f>
        <v>Junho</v>
      </c>
    </row>
    <row r="298" spans="1:12" x14ac:dyDescent="0.25">
      <c r="A298">
        <v>297</v>
      </c>
      <c r="B298" s="1">
        <v>45811</v>
      </c>
      <c r="C298" t="s">
        <v>38</v>
      </c>
      <c r="D298" t="s">
        <v>104</v>
      </c>
      <c r="E298" t="s">
        <v>25</v>
      </c>
      <c r="F298">
        <v>1</v>
      </c>
      <c r="G298" s="2">
        <v>500</v>
      </c>
      <c r="H298" s="2"/>
      <c r="I298" t="s">
        <v>32</v>
      </c>
      <c r="J298" s="3">
        <v>0.03</v>
      </c>
      <c r="K298" s="4">
        <f t="shared" si="18"/>
        <v>15</v>
      </c>
      <c r="L298" t="str">
        <f t="shared" si="19"/>
        <v>Junho</v>
      </c>
    </row>
    <row r="299" spans="1:12" x14ac:dyDescent="0.25">
      <c r="A299">
        <v>298</v>
      </c>
      <c r="B299" s="1">
        <v>45818</v>
      </c>
      <c r="C299" t="s">
        <v>38</v>
      </c>
      <c r="D299" t="s">
        <v>253</v>
      </c>
      <c r="E299" t="s">
        <v>26</v>
      </c>
      <c r="F299">
        <v>1</v>
      </c>
      <c r="G299" s="2">
        <v>600</v>
      </c>
      <c r="H299" s="2">
        <v>33.72</v>
      </c>
      <c r="I299" t="s">
        <v>32</v>
      </c>
      <c r="J299" s="3">
        <v>0.03</v>
      </c>
      <c r="K299" s="4">
        <f t="shared" si="18"/>
        <v>18</v>
      </c>
      <c r="L299" t="str">
        <f t="shared" si="19"/>
        <v>Junho</v>
      </c>
    </row>
    <row r="300" spans="1:12" x14ac:dyDescent="0.25">
      <c r="A300">
        <v>299</v>
      </c>
      <c r="B300" s="1">
        <v>45818</v>
      </c>
      <c r="C300" t="s">
        <v>38</v>
      </c>
      <c r="D300" t="s">
        <v>254</v>
      </c>
      <c r="E300" t="s">
        <v>11</v>
      </c>
      <c r="F300">
        <v>1</v>
      </c>
      <c r="G300" s="2">
        <v>600</v>
      </c>
      <c r="H300" s="2">
        <v>45.79</v>
      </c>
      <c r="I300" t="s">
        <v>32</v>
      </c>
      <c r="J300" s="3">
        <v>0.03</v>
      </c>
      <c r="K300" s="4">
        <f t="shared" si="18"/>
        <v>18</v>
      </c>
      <c r="L300" t="str">
        <f t="shared" si="19"/>
        <v>Junho</v>
      </c>
    </row>
    <row r="301" spans="1:12" x14ac:dyDescent="0.25">
      <c r="A301">
        <v>300</v>
      </c>
      <c r="B301" s="1">
        <v>45825</v>
      </c>
      <c r="C301" t="s">
        <v>38</v>
      </c>
      <c r="D301" t="s">
        <v>255</v>
      </c>
      <c r="E301" t="s">
        <v>11</v>
      </c>
      <c r="F301">
        <v>1</v>
      </c>
      <c r="G301" s="2">
        <v>600</v>
      </c>
      <c r="H301" s="2">
        <v>7.86</v>
      </c>
      <c r="I301" t="s">
        <v>32</v>
      </c>
      <c r="J301" s="3">
        <v>0.03</v>
      </c>
      <c r="K301" s="4">
        <f t="shared" si="18"/>
        <v>18</v>
      </c>
      <c r="L301" t="str">
        <f t="shared" si="19"/>
        <v>Junho</v>
      </c>
    </row>
    <row r="302" spans="1:12" x14ac:dyDescent="0.25">
      <c r="A302">
        <v>301</v>
      </c>
      <c r="B302" s="1">
        <v>45825</v>
      </c>
      <c r="C302" t="s">
        <v>38</v>
      </c>
      <c r="D302" t="s">
        <v>256</v>
      </c>
      <c r="E302" t="s">
        <v>20</v>
      </c>
      <c r="F302">
        <v>1</v>
      </c>
      <c r="G302" s="2">
        <v>350</v>
      </c>
      <c r="H302" s="2">
        <v>19.670000000000002</v>
      </c>
      <c r="I302" t="s">
        <v>32</v>
      </c>
      <c r="J302" s="3">
        <v>0.03</v>
      </c>
      <c r="K302" s="4">
        <f t="shared" si="18"/>
        <v>10.5</v>
      </c>
      <c r="L302" t="str">
        <f t="shared" si="19"/>
        <v>Junho</v>
      </c>
    </row>
    <row r="303" spans="1:12" x14ac:dyDescent="0.25">
      <c r="A303">
        <v>302</v>
      </c>
      <c r="B303" s="1">
        <v>45832</v>
      </c>
      <c r="C303" t="s">
        <v>38</v>
      </c>
      <c r="D303" t="s">
        <v>104</v>
      </c>
      <c r="E303" t="s">
        <v>13</v>
      </c>
      <c r="F303">
        <v>1</v>
      </c>
      <c r="G303" s="2">
        <v>500</v>
      </c>
      <c r="H303" s="2"/>
      <c r="I303" t="s">
        <v>32</v>
      </c>
      <c r="J303" s="3">
        <v>0.03</v>
      </c>
      <c r="K303" s="4">
        <f t="shared" si="18"/>
        <v>15</v>
      </c>
      <c r="L303" t="str">
        <f t="shared" si="19"/>
        <v>Junho</v>
      </c>
    </row>
    <row r="304" spans="1:12" x14ac:dyDescent="0.25">
      <c r="A304">
        <v>303</v>
      </c>
      <c r="B304" s="1">
        <v>45838</v>
      </c>
      <c r="C304" t="s">
        <v>38</v>
      </c>
      <c r="D304" t="s">
        <v>255</v>
      </c>
      <c r="E304" t="s">
        <v>12</v>
      </c>
      <c r="F304">
        <v>1</v>
      </c>
      <c r="G304" s="2">
        <v>3400</v>
      </c>
      <c r="H304" s="2"/>
      <c r="I304" t="s">
        <v>32</v>
      </c>
      <c r="J304" s="3">
        <v>0.03</v>
      </c>
      <c r="K304" s="4">
        <f t="shared" si="18"/>
        <v>102</v>
      </c>
      <c r="L304" t="str">
        <f t="shared" si="19"/>
        <v>Junho</v>
      </c>
    </row>
    <row r="305" spans="1:12" x14ac:dyDescent="0.25">
      <c r="A305">
        <v>304</v>
      </c>
      <c r="B305" s="1">
        <v>45873</v>
      </c>
      <c r="C305" t="s">
        <v>10</v>
      </c>
      <c r="D305" t="s">
        <v>189</v>
      </c>
      <c r="E305" t="s">
        <v>13</v>
      </c>
      <c r="F305">
        <v>1</v>
      </c>
      <c r="G305" s="2">
        <v>5000</v>
      </c>
      <c r="H305" s="2">
        <v>569.09</v>
      </c>
      <c r="I305" t="s">
        <v>32</v>
      </c>
      <c r="J305" s="3">
        <v>0.03</v>
      </c>
      <c r="K305" s="4">
        <f t="shared" si="18"/>
        <v>150</v>
      </c>
      <c r="L305" t="str">
        <f t="shared" si="19"/>
        <v>Agosto</v>
      </c>
    </row>
    <row r="306" spans="1:12" x14ac:dyDescent="0.25">
      <c r="A306">
        <v>305</v>
      </c>
      <c r="B306" s="1">
        <v>45873</v>
      </c>
      <c r="C306" t="s">
        <v>10</v>
      </c>
      <c r="D306" t="s">
        <v>257</v>
      </c>
      <c r="E306" t="s">
        <v>11</v>
      </c>
      <c r="F306">
        <v>1</v>
      </c>
      <c r="G306" s="2">
        <v>600</v>
      </c>
      <c r="H306" s="2"/>
      <c r="I306" t="s">
        <v>323</v>
      </c>
      <c r="J306" s="3">
        <v>0.03</v>
      </c>
      <c r="K306" s="4">
        <f t="shared" si="18"/>
        <v>18</v>
      </c>
      <c r="L306" t="str">
        <f t="shared" si="19"/>
        <v>Agosto</v>
      </c>
    </row>
    <row r="307" spans="1:12" x14ac:dyDescent="0.25">
      <c r="A307">
        <v>306</v>
      </c>
      <c r="B307" s="1">
        <v>45873</v>
      </c>
      <c r="C307" t="s">
        <v>10</v>
      </c>
      <c r="D307" t="s">
        <v>51</v>
      </c>
      <c r="E307" t="s">
        <v>13</v>
      </c>
      <c r="F307">
        <v>1</v>
      </c>
      <c r="G307" s="2">
        <v>2500</v>
      </c>
      <c r="H307" s="2">
        <v>18.75</v>
      </c>
      <c r="I307" t="s">
        <v>32</v>
      </c>
      <c r="J307" s="3">
        <v>0.03</v>
      </c>
      <c r="K307" s="4">
        <f t="shared" si="18"/>
        <v>75</v>
      </c>
      <c r="L307" t="str">
        <f t="shared" si="19"/>
        <v>Agosto</v>
      </c>
    </row>
    <row r="308" spans="1:12" x14ac:dyDescent="0.25">
      <c r="A308">
        <v>307</v>
      </c>
      <c r="B308" s="1">
        <v>45873</v>
      </c>
      <c r="C308" t="s">
        <v>10</v>
      </c>
      <c r="D308" t="s">
        <v>71</v>
      </c>
      <c r="E308" t="s">
        <v>13</v>
      </c>
      <c r="F308">
        <v>1</v>
      </c>
      <c r="G308" s="2">
        <v>700</v>
      </c>
      <c r="H308" s="2">
        <v>31.79</v>
      </c>
      <c r="I308" t="s">
        <v>32</v>
      </c>
      <c r="J308" s="3">
        <v>0.03</v>
      </c>
      <c r="K308" s="4">
        <f t="shared" si="18"/>
        <v>21</v>
      </c>
      <c r="L308" t="str">
        <f t="shared" si="19"/>
        <v>Agosto</v>
      </c>
    </row>
    <row r="309" spans="1:12" x14ac:dyDescent="0.25">
      <c r="A309">
        <v>308</v>
      </c>
      <c r="B309" s="1">
        <v>45874</v>
      </c>
      <c r="C309" t="s">
        <v>10</v>
      </c>
      <c r="D309" t="s">
        <v>258</v>
      </c>
      <c r="E309" t="s">
        <v>26</v>
      </c>
      <c r="F309">
        <v>1</v>
      </c>
      <c r="G309" s="2">
        <v>500</v>
      </c>
      <c r="H309" s="2"/>
      <c r="I309" t="s">
        <v>32</v>
      </c>
      <c r="J309" s="3">
        <v>0.03</v>
      </c>
      <c r="K309" s="4">
        <f t="shared" si="18"/>
        <v>15</v>
      </c>
      <c r="L309" t="str">
        <f t="shared" si="19"/>
        <v>Agosto</v>
      </c>
    </row>
    <row r="310" spans="1:12" x14ac:dyDescent="0.25">
      <c r="A310">
        <v>309</v>
      </c>
      <c r="B310" s="1">
        <v>45874</v>
      </c>
      <c r="C310" t="s">
        <v>10</v>
      </c>
      <c r="D310" t="s">
        <v>71</v>
      </c>
      <c r="E310" t="s">
        <v>13</v>
      </c>
      <c r="F310">
        <v>1</v>
      </c>
      <c r="G310" s="2">
        <v>2300</v>
      </c>
      <c r="H310" s="2">
        <v>261.41000000000003</v>
      </c>
      <c r="I310" t="s">
        <v>32</v>
      </c>
      <c r="J310" s="3">
        <v>0.03</v>
      </c>
      <c r="K310" s="4">
        <f t="shared" si="18"/>
        <v>69</v>
      </c>
      <c r="L310" t="str">
        <f t="shared" si="19"/>
        <v>Agosto</v>
      </c>
    </row>
    <row r="311" spans="1:12" x14ac:dyDescent="0.25">
      <c r="A311">
        <v>310</v>
      </c>
      <c r="B311" s="1">
        <v>45875</v>
      </c>
      <c r="C311" t="s">
        <v>10</v>
      </c>
      <c r="D311" t="s">
        <v>259</v>
      </c>
      <c r="E311" t="s">
        <v>11</v>
      </c>
      <c r="F311">
        <v>1</v>
      </c>
      <c r="G311" s="2">
        <v>600</v>
      </c>
      <c r="H311" s="2">
        <v>4.5</v>
      </c>
      <c r="I311" t="s">
        <v>32</v>
      </c>
      <c r="J311" s="3">
        <v>0.03</v>
      </c>
      <c r="K311" s="4">
        <f t="shared" si="18"/>
        <v>18</v>
      </c>
      <c r="L311" t="str">
        <f t="shared" si="19"/>
        <v>Agosto</v>
      </c>
    </row>
    <row r="312" spans="1:12" x14ac:dyDescent="0.25">
      <c r="A312">
        <v>311</v>
      </c>
      <c r="B312" s="1">
        <v>45875</v>
      </c>
      <c r="C312" t="s">
        <v>10</v>
      </c>
      <c r="D312" t="s">
        <v>95</v>
      </c>
      <c r="E312" t="s">
        <v>40</v>
      </c>
      <c r="F312">
        <v>1</v>
      </c>
      <c r="G312" s="2">
        <v>2500</v>
      </c>
      <c r="H312" s="2">
        <v>18.75</v>
      </c>
      <c r="I312" t="s">
        <v>323</v>
      </c>
      <c r="J312" s="3">
        <v>0.03</v>
      </c>
      <c r="K312" s="4">
        <f t="shared" si="18"/>
        <v>75</v>
      </c>
      <c r="L312" t="str">
        <f t="shared" si="19"/>
        <v>Agosto</v>
      </c>
    </row>
    <row r="313" spans="1:12" x14ac:dyDescent="0.25">
      <c r="A313">
        <v>312</v>
      </c>
      <c r="B313" s="1">
        <v>45875</v>
      </c>
      <c r="C313" t="s">
        <v>10</v>
      </c>
      <c r="D313" t="s">
        <v>260</v>
      </c>
      <c r="E313" t="s">
        <v>13</v>
      </c>
      <c r="F313">
        <v>1</v>
      </c>
      <c r="G313" s="2">
        <v>2300</v>
      </c>
      <c r="H313" s="2">
        <v>200.17</v>
      </c>
      <c r="I313" t="s">
        <v>32</v>
      </c>
      <c r="J313" s="3">
        <v>0.03</v>
      </c>
      <c r="K313" s="4">
        <f t="shared" si="18"/>
        <v>69</v>
      </c>
      <c r="L313" t="str">
        <f t="shared" si="19"/>
        <v>Agosto</v>
      </c>
    </row>
    <row r="314" spans="1:12" x14ac:dyDescent="0.25">
      <c r="A314">
        <v>313</v>
      </c>
      <c r="B314" s="1">
        <v>45875</v>
      </c>
      <c r="C314" t="s">
        <v>10</v>
      </c>
      <c r="D314" t="s">
        <v>72</v>
      </c>
      <c r="E314" t="s">
        <v>26</v>
      </c>
      <c r="F314">
        <v>1</v>
      </c>
      <c r="G314" s="2">
        <v>200</v>
      </c>
      <c r="H314" s="2"/>
      <c r="I314" t="s">
        <v>32</v>
      </c>
      <c r="J314" s="3">
        <v>0.03</v>
      </c>
      <c r="K314" s="4">
        <f t="shared" si="18"/>
        <v>6</v>
      </c>
      <c r="L314" t="str">
        <f t="shared" si="19"/>
        <v>Agosto</v>
      </c>
    </row>
    <row r="315" spans="1:12" x14ac:dyDescent="0.25">
      <c r="A315">
        <v>314</v>
      </c>
      <c r="B315" s="1">
        <v>45876</v>
      </c>
      <c r="C315" t="s">
        <v>10</v>
      </c>
      <c r="D315" t="s">
        <v>261</v>
      </c>
      <c r="E315" t="s">
        <v>13</v>
      </c>
      <c r="F315">
        <v>1</v>
      </c>
      <c r="G315" s="2">
        <v>1400</v>
      </c>
      <c r="H315" s="2">
        <v>10.5</v>
      </c>
      <c r="I315" t="s">
        <v>32</v>
      </c>
      <c r="J315" s="3">
        <v>0.03</v>
      </c>
      <c r="K315" s="4">
        <f t="shared" si="18"/>
        <v>42</v>
      </c>
      <c r="L315" t="str">
        <f t="shared" si="19"/>
        <v>Agosto</v>
      </c>
    </row>
    <row r="316" spans="1:12" x14ac:dyDescent="0.25">
      <c r="A316">
        <v>315</v>
      </c>
      <c r="B316" s="1">
        <v>45876</v>
      </c>
      <c r="C316" t="s">
        <v>10</v>
      </c>
      <c r="D316" t="s">
        <v>186</v>
      </c>
      <c r="E316" t="s">
        <v>16</v>
      </c>
      <c r="F316">
        <v>1</v>
      </c>
      <c r="G316" s="2">
        <v>150</v>
      </c>
      <c r="H316" s="2">
        <v>5.6</v>
      </c>
      <c r="I316" t="s">
        <v>32</v>
      </c>
      <c r="J316" s="3">
        <v>0.03</v>
      </c>
      <c r="K316" s="4">
        <f t="shared" si="18"/>
        <v>4.5</v>
      </c>
      <c r="L316" t="str">
        <f t="shared" si="19"/>
        <v>Agosto</v>
      </c>
    </row>
    <row r="317" spans="1:12" x14ac:dyDescent="0.25">
      <c r="A317">
        <v>316</v>
      </c>
      <c r="B317" s="1">
        <v>45876</v>
      </c>
      <c r="C317" t="s">
        <v>10</v>
      </c>
      <c r="D317" t="s">
        <v>86</v>
      </c>
      <c r="E317" t="s">
        <v>16</v>
      </c>
      <c r="F317">
        <v>1</v>
      </c>
      <c r="G317" s="2">
        <v>350</v>
      </c>
      <c r="H317" s="2">
        <v>12.68</v>
      </c>
      <c r="I317" t="s">
        <v>32</v>
      </c>
      <c r="J317" s="3">
        <v>0.03</v>
      </c>
      <c r="K317" s="4">
        <f t="shared" si="18"/>
        <v>10.5</v>
      </c>
      <c r="L317" t="str">
        <f t="shared" si="19"/>
        <v>Agosto</v>
      </c>
    </row>
    <row r="318" spans="1:12" x14ac:dyDescent="0.25">
      <c r="A318">
        <v>317</v>
      </c>
      <c r="B318" s="1">
        <v>45876</v>
      </c>
      <c r="C318" t="s">
        <v>10</v>
      </c>
      <c r="D318" t="s">
        <v>249</v>
      </c>
      <c r="E318" t="s">
        <v>20</v>
      </c>
      <c r="F318">
        <v>1</v>
      </c>
      <c r="G318" s="2">
        <v>300</v>
      </c>
      <c r="H318" s="2">
        <v>11.19</v>
      </c>
      <c r="I318" t="s">
        <v>32</v>
      </c>
      <c r="J318" s="3">
        <v>0.03</v>
      </c>
      <c r="K318" s="4">
        <f t="shared" si="18"/>
        <v>9</v>
      </c>
      <c r="L318" t="str">
        <f t="shared" si="19"/>
        <v>Agosto</v>
      </c>
    </row>
    <row r="319" spans="1:12" x14ac:dyDescent="0.25">
      <c r="A319">
        <v>318</v>
      </c>
      <c r="B319" s="1">
        <v>45876</v>
      </c>
      <c r="C319" t="s">
        <v>10</v>
      </c>
      <c r="D319" t="s">
        <v>262</v>
      </c>
      <c r="E319" t="s">
        <v>11</v>
      </c>
      <c r="F319">
        <v>1</v>
      </c>
      <c r="G319" s="2">
        <v>600</v>
      </c>
      <c r="H319" s="2"/>
      <c r="I319" t="s">
        <v>32</v>
      </c>
      <c r="J319" s="3">
        <v>0.03</v>
      </c>
      <c r="K319" s="4">
        <f t="shared" si="18"/>
        <v>18</v>
      </c>
      <c r="L319" t="str">
        <f t="shared" si="19"/>
        <v>Agosto</v>
      </c>
    </row>
    <row r="320" spans="1:12" x14ac:dyDescent="0.25">
      <c r="A320">
        <v>319</v>
      </c>
      <c r="B320" s="1">
        <v>45876</v>
      </c>
      <c r="C320" t="s">
        <v>10</v>
      </c>
      <c r="D320" t="s">
        <v>263</v>
      </c>
      <c r="E320" t="s">
        <v>13</v>
      </c>
      <c r="F320">
        <v>1</v>
      </c>
      <c r="G320" s="2">
        <v>4300</v>
      </c>
      <c r="H320" s="2">
        <v>301.45999999999998</v>
      </c>
      <c r="I320" t="s">
        <v>32</v>
      </c>
      <c r="J320" s="3">
        <v>0.03</v>
      </c>
      <c r="K320" s="4">
        <f t="shared" si="18"/>
        <v>129</v>
      </c>
      <c r="L320" t="str">
        <f t="shared" si="19"/>
        <v>Agosto</v>
      </c>
    </row>
    <row r="321" spans="1:12" x14ac:dyDescent="0.25">
      <c r="A321">
        <v>320</v>
      </c>
      <c r="B321" s="1">
        <v>45876</v>
      </c>
      <c r="C321" t="s">
        <v>10</v>
      </c>
      <c r="D321" t="s">
        <v>262</v>
      </c>
      <c r="E321" t="s">
        <v>15</v>
      </c>
      <c r="F321">
        <v>1</v>
      </c>
      <c r="G321" s="2">
        <v>1800</v>
      </c>
      <c r="H321" s="2"/>
      <c r="I321" t="s">
        <v>32</v>
      </c>
      <c r="J321" s="3">
        <v>0.03</v>
      </c>
      <c r="K321" s="4">
        <f t="shared" si="18"/>
        <v>54</v>
      </c>
      <c r="L321" t="str">
        <f t="shared" si="19"/>
        <v>Agosto</v>
      </c>
    </row>
    <row r="322" spans="1:12" x14ac:dyDescent="0.25">
      <c r="A322">
        <v>321</v>
      </c>
      <c r="B322" s="1">
        <v>45880</v>
      </c>
      <c r="C322" t="s">
        <v>10</v>
      </c>
      <c r="D322" t="s">
        <v>264</v>
      </c>
      <c r="E322" t="s">
        <v>11</v>
      </c>
      <c r="F322">
        <v>1</v>
      </c>
      <c r="G322" s="2">
        <v>580</v>
      </c>
      <c r="H322" s="2"/>
      <c r="I322" t="s">
        <v>32</v>
      </c>
      <c r="J322" s="3">
        <v>0.03</v>
      </c>
      <c r="K322" s="4">
        <f t="shared" si="18"/>
        <v>17.399999999999999</v>
      </c>
      <c r="L322" t="str">
        <f t="shared" si="19"/>
        <v>Agosto</v>
      </c>
    </row>
    <row r="323" spans="1:12" x14ac:dyDescent="0.25">
      <c r="A323">
        <v>322</v>
      </c>
      <c r="B323" s="1">
        <v>45880</v>
      </c>
      <c r="C323" t="s">
        <v>10</v>
      </c>
      <c r="D323" t="s">
        <v>265</v>
      </c>
      <c r="E323" t="s">
        <v>12</v>
      </c>
      <c r="F323">
        <v>1</v>
      </c>
      <c r="G323" s="2">
        <v>4500</v>
      </c>
      <c r="H323" s="2">
        <v>511.21</v>
      </c>
      <c r="I323" t="s">
        <v>32</v>
      </c>
      <c r="J323" s="3">
        <v>0.03</v>
      </c>
      <c r="K323" s="4">
        <f t="shared" si="18"/>
        <v>135</v>
      </c>
      <c r="L323" t="str">
        <f t="shared" si="19"/>
        <v>Agosto</v>
      </c>
    </row>
    <row r="324" spans="1:12" x14ac:dyDescent="0.25">
      <c r="A324">
        <v>323</v>
      </c>
      <c r="B324" s="1">
        <v>45880</v>
      </c>
      <c r="C324" t="s">
        <v>10</v>
      </c>
      <c r="D324" t="s">
        <v>266</v>
      </c>
      <c r="E324" t="s">
        <v>12</v>
      </c>
      <c r="F324">
        <v>1</v>
      </c>
      <c r="G324" s="2">
        <v>4000</v>
      </c>
      <c r="H324" s="2"/>
      <c r="I324" t="s">
        <v>32</v>
      </c>
      <c r="J324" s="3">
        <v>0.03</v>
      </c>
      <c r="K324" s="4">
        <f t="shared" si="18"/>
        <v>120</v>
      </c>
      <c r="L324" t="str">
        <f t="shared" si="19"/>
        <v>Agosto</v>
      </c>
    </row>
    <row r="325" spans="1:12" x14ac:dyDescent="0.25">
      <c r="A325">
        <v>324</v>
      </c>
      <c r="B325" s="1">
        <v>45880</v>
      </c>
      <c r="C325" t="s">
        <v>10</v>
      </c>
      <c r="D325" t="s">
        <v>267</v>
      </c>
      <c r="E325" t="s">
        <v>11</v>
      </c>
      <c r="F325">
        <v>1</v>
      </c>
      <c r="G325" s="2">
        <v>600</v>
      </c>
      <c r="H325" s="2"/>
      <c r="I325" t="s">
        <v>32</v>
      </c>
      <c r="J325" s="3">
        <v>0.03</v>
      </c>
      <c r="K325" s="4">
        <f t="shared" si="18"/>
        <v>18</v>
      </c>
      <c r="L325" t="str">
        <f t="shared" si="19"/>
        <v>Agosto</v>
      </c>
    </row>
    <row r="326" spans="1:12" x14ac:dyDescent="0.25">
      <c r="A326">
        <v>325</v>
      </c>
      <c r="B326" s="1">
        <v>45880</v>
      </c>
      <c r="C326" t="s">
        <v>10</v>
      </c>
      <c r="D326" t="s">
        <v>93</v>
      </c>
      <c r="E326" t="s">
        <v>20</v>
      </c>
      <c r="F326">
        <v>1</v>
      </c>
      <c r="G326" s="2">
        <v>400</v>
      </c>
      <c r="H326" s="2"/>
      <c r="I326" t="s">
        <v>32</v>
      </c>
      <c r="J326" s="3">
        <v>0.03</v>
      </c>
      <c r="K326" s="4">
        <f t="shared" si="18"/>
        <v>12</v>
      </c>
      <c r="L326" t="str">
        <f t="shared" si="19"/>
        <v>Agosto</v>
      </c>
    </row>
    <row r="327" spans="1:12" x14ac:dyDescent="0.25">
      <c r="A327">
        <v>326</v>
      </c>
      <c r="B327" s="1">
        <v>45880</v>
      </c>
      <c r="C327" t="s">
        <v>10</v>
      </c>
      <c r="D327" t="s">
        <v>193</v>
      </c>
      <c r="E327" t="s">
        <v>11</v>
      </c>
      <c r="F327">
        <v>1</v>
      </c>
      <c r="G327" s="2">
        <v>600</v>
      </c>
      <c r="H327" s="2">
        <v>1.5</v>
      </c>
      <c r="I327" t="s">
        <v>32</v>
      </c>
      <c r="J327" s="3">
        <v>0.03</v>
      </c>
      <c r="K327" s="4">
        <f t="shared" si="18"/>
        <v>18</v>
      </c>
      <c r="L327" t="str">
        <f t="shared" si="19"/>
        <v>Agosto</v>
      </c>
    </row>
    <row r="328" spans="1:12" x14ac:dyDescent="0.25">
      <c r="A328">
        <v>327</v>
      </c>
      <c r="B328" s="1">
        <v>45880</v>
      </c>
      <c r="C328" t="s">
        <v>10</v>
      </c>
      <c r="D328" t="s">
        <v>165</v>
      </c>
      <c r="E328" t="s">
        <v>251</v>
      </c>
      <c r="F328">
        <v>1</v>
      </c>
      <c r="G328" s="2">
        <v>750</v>
      </c>
      <c r="H328" s="2"/>
      <c r="I328" t="s">
        <v>32</v>
      </c>
      <c r="J328" s="3">
        <v>0.03</v>
      </c>
      <c r="K328" s="4">
        <f t="shared" ref="K328:K358" si="20">G328*J328</f>
        <v>22.5</v>
      </c>
      <c r="L328" t="str">
        <f t="shared" ref="L328:L358" si="21">PROPER(TEXT(B328,"mmmm"))</f>
        <v>Agosto</v>
      </c>
    </row>
    <row r="329" spans="1:12" x14ac:dyDescent="0.25">
      <c r="A329">
        <v>328</v>
      </c>
      <c r="B329" s="1">
        <v>45880</v>
      </c>
      <c r="C329" t="s">
        <v>10</v>
      </c>
      <c r="D329" t="s">
        <v>163</v>
      </c>
      <c r="E329" t="s">
        <v>296</v>
      </c>
      <c r="F329">
        <v>1</v>
      </c>
      <c r="G329" s="2">
        <v>2000</v>
      </c>
      <c r="H329" s="2">
        <v>15</v>
      </c>
      <c r="I329" t="s">
        <v>32</v>
      </c>
      <c r="J329" s="3">
        <v>0.03</v>
      </c>
      <c r="K329" s="4">
        <f t="shared" si="20"/>
        <v>60</v>
      </c>
      <c r="L329" t="str">
        <f t="shared" si="21"/>
        <v>Agosto</v>
      </c>
    </row>
    <row r="330" spans="1:12" x14ac:dyDescent="0.25">
      <c r="A330">
        <v>329</v>
      </c>
      <c r="B330" s="1">
        <v>45870</v>
      </c>
      <c r="C330" t="s">
        <v>10</v>
      </c>
      <c r="D330" t="s">
        <v>268</v>
      </c>
      <c r="E330" t="s">
        <v>40</v>
      </c>
      <c r="F330">
        <v>1</v>
      </c>
      <c r="G330" s="2">
        <v>3000</v>
      </c>
      <c r="H330" s="2"/>
      <c r="I330" t="s">
        <v>323</v>
      </c>
      <c r="J330" s="3">
        <v>0.03</v>
      </c>
      <c r="K330" s="4">
        <f t="shared" si="20"/>
        <v>90</v>
      </c>
      <c r="L330" t="str">
        <f t="shared" si="21"/>
        <v>Agosto</v>
      </c>
    </row>
    <row r="331" spans="1:12" x14ac:dyDescent="0.25">
      <c r="A331">
        <v>330</v>
      </c>
      <c r="B331" s="1">
        <v>45882</v>
      </c>
      <c r="C331" t="s">
        <v>10</v>
      </c>
      <c r="D331" t="s">
        <v>269</v>
      </c>
      <c r="E331" t="s">
        <v>296</v>
      </c>
      <c r="F331">
        <v>1</v>
      </c>
      <c r="G331" s="2">
        <v>2000</v>
      </c>
      <c r="H331" s="2">
        <v>91.38</v>
      </c>
      <c r="I331" t="s">
        <v>32</v>
      </c>
      <c r="J331" s="3">
        <v>0.03</v>
      </c>
      <c r="K331" s="4">
        <f t="shared" si="20"/>
        <v>60</v>
      </c>
      <c r="L331" t="str">
        <f t="shared" si="21"/>
        <v>Agosto</v>
      </c>
    </row>
    <row r="332" spans="1:12" x14ac:dyDescent="0.25">
      <c r="A332">
        <v>331</v>
      </c>
      <c r="B332" s="1">
        <v>45882</v>
      </c>
      <c r="C332" t="s">
        <v>10</v>
      </c>
      <c r="D332" t="s">
        <v>259</v>
      </c>
      <c r="E332" t="s">
        <v>251</v>
      </c>
      <c r="F332">
        <v>1</v>
      </c>
      <c r="G332" s="2">
        <v>1350</v>
      </c>
      <c r="H332" s="2">
        <v>45.66</v>
      </c>
      <c r="I332" t="s">
        <v>32</v>
      </c>
      <c r="J332" s="3">
        <v>0.03</v>
      </c>
      <c r="K332" s="4">
        <f t="shared" si="20"/>
        <v>40.5</v>
      </c>
      <c r="L332" t="str">
        <f t="shared" si="21"/>
        <v>Agosto</v>
      </c>
    </row>
    <row r="333" spans="1:12" x14ac:dyDescent="0.25">
      <c r="A333">
        <v>332</v>
      </c>
      <c r="B333" s="1">
        <v>45882</v>
      </c>
      <c r="C333" t="s">
        <v>10</v>
      </c>
      <c r="D333" t="s">
        <v>270</v>
      </c>
      <c r="E333" t="s">
        <v>23</v>
      </c>
      <c r="F333">
        <v>1</v>
      </c>
      <c r="G333" s="2">
        <v>600</v>
      </c>
      <c r="H333" s="2"/>
      <c r="I333" t="s">
        <v>32</v>
      </c>
      <c r="J333" s="3">
        <v>0.03</v>
      </c>
      <c r="K333" s="4">
        <f t="shared" si="20"/>
        <v>18</v>
      </c>
      <c r="L333" t="str">
        <f t="shared" si="21"/>
        <v>Agosto</v>
      </c>
    </row>
    <row r="334" spans="1:12" x14ac:dyDescent="0.25">
      <c r="A334">
        <v>333</v>
      </c>
      <c r="B334" s="1">
        <v>45882</v>
      </c>
      <c r="C334" t="s">
        <v>10</v>
      </c>
      <c r="D334" t="s">
        <v>271</v>
      </c>
      <c r="E334" t="s">
        <v>31</v>
      </c>
      <c r="F334">
        <v>1</v>
      </c>
      <c r="G334" s="2">
        <v>1300</v>
      </c>
      <c r="H334" s="2">
        <v>20.54</v>
      </c>
      <c r="I334" t="s">
        <v>32</v>
      </c>
      <c r="J334" s="3">
        <v>0.03</v>
      </c>
      <c r="K334" s="4">
        <f t="shared" si="20"/>
        <v>39</v>
      </c>
      <c r="L334" t="str">
        <f t="shared" si="21"/>
        <v>Agosto</v>
      </c>
    </row>
    <row r="335" spans="1:12" x14ac:dyDescent="0.25">
      <c r="A335">
        <v>334</v>
      </c>
      <c r="B335" s="1">
        <v>45882</v>
      </c>
      <c r="C335" t="s">
        <v>10</v>
      </c>
      <c r="D335" t="s">
        <v>241</v>
      </c>
      <c r="E335" t="s">
        <v>13</v>
      </c>
      <c r="F335">
        <v>1</v>
      </c>
      <c r="G335" s="2">
        <v>4500</v>
      </c>
      <c r="H335" s="2">
        <v>511.21</v>
      </c>
      <c r="I335" t="s">
        <v>32</v>
      </c>
      <c r="J335" s="3">
        <v>0.03</v>
      </c>
      <c r="K335" s="4">
        <f t="shared" si="20"/>
        <v>135</v>
      </c>
      <c r="L335" t="str">
        <f t="shared" si="21"/>
        <v>Agosto</v>
      </c>
    </row>
    <row r="336" spans="1:12" x14ac:dyDescent="0.25">
      <c r="A336">
        <v>335</v>
      </c>
      <c r="B336" s="1">
        <v>45882</v>
      </c>
      <c r="C336" t="s">
        <v>10</v>
      </c>
      <c r="D336" t="s">
        <v>241</v>
      </c>
      <c r="E336" t="s">
        <v>20</v>
      </c>
      <c r="F336">
        <v>1</v>
      </c>
      <c r="G336" s="2">
        <v>350</v>
      </c>
      <c r="H336" s="2"/>
      <c r="I336" t="s">
        <v>32</v>
      </c>
      <c r="J336" s="3">
        <v>0.03</v>
      </c>
      <c r="K336" s="4">
        <f t="shared" si="20"/>
        <v>10.5</v>
      </c>
      <c r="L336" t="str">
        <f t="shared" si="21"/>
        <v>Agosto</v>
      </c>
    </row>
    <row r="337" spans="1:12" x14ac:dyDescent="0.25">
      <c r="A337">
        <v>336</v>
      </c>
      <c r="B337" s="1">
        <v>45882</v>
      </c>
      <c r="C337" t="s">
        <v>10</v>
      </c>
      <c r="D337" t="s">
        <v>248</v>
      </c>
      <c r="E337" t="s">
        <v>20</v>
      </c>
      <c r="F337">
        <v>1</v>
      </c>
      <c r="G337" s="2">
        <v>325</v>
      </c>
      <c r="H337" s="2"/>
      <c r="I337" t="s">
        <v>32</v>
      </c>
      <c r="J337" s="3">
        <v>0.03</v>
      </c>
      <c r="K337" s="4">
        <f t="shared" si="20"/>
        <v>9.75</v>
      </c>
      <c r="L337" t="str">
        <f t="shared" si="21"/>
        <v>Agosto</v>
      </c>
    </row>
    <row r="338" spans="1:12" x14ac:dyDescent="0.25">
      <c r="A338">
        <v>337</v>
      </c>
      <c r="B338" s="1">
        <v>45882</v>
      </c>
      <c r="C338" t="s">
        <v>10</v>
      </c>
      <c r="D338" t="s">
        <v>272</v>
      </c>
      <c r="E338" t="s">
        <v>16</v>
      </c>
      <c r="F338">
        <v>1</v>
      </c>
      <c r="G338" s="2">
        <v>300</v>
      </c>
      <c r="H338" s="2"/>
      <c r="I338" t="s">
        <v>32</v>
      </c>
      <c r="J338" s="3">
        <v>0.03</v>
      </c>
      <c r="K338" s="4">
        <f t="shared" si="20"/>
        <v>9</v>
      </c>
      <c r="L338" t="str">
        <f t="shared" si="21"/>
        <v>Agosto</v>
      </c>
    </row>
    <row r="339" spans="1:12" x14ac:dyDescent="0.25">
      <c r="A339">
        <v>338</v>
      </c>
      <c r="B339" s="1">
        <v>45882</v>
      </c>
      <c r="C339" t="s">
        <v>10</v>
      </c>
      <c r="D339" t="s">
        <v>196</v>
      </c>
      <c r="E339" t="s">
        <v>13</v>
      </c>
      <c r="F339">
        <v>1</v>
      </c>
      <c r="G339" s="2">
        <v>2000</v>
      </c>
      <c r="H339" s="2">
        <v>227.2</v>
      </c>
      <c r="I339" t="s">
        <v>32</v>
      </c>
      <c r="J339" s="3">
        <v>0.03</v>
      </c>
      <c r="K339" s="4">
        <f t="shared" si="20"/>
        <v>60</v>
      </c>
      <c r="L339" t="str">
        <f t="shared" si="21"/>
        <v>Agosto</v>
      </c>
    </row>
    <row r="340" spans="1:12" x14ac:dyDescent="0.25">
      <c r="A340">
        <v>339</v>
      </c>
      <c r="B340" s="1">
        <v>45883</v>
      </c>
      <c r="C340" t="s">
        <v>10</v>
      </c>
      <c r="D340" t="s">
        <v>246</v>
      </c>
      <c r="E340" t="s">
        <v>11</v>
      </c>
      <c r="F340">
        <v>1</v>
      </c>
      <c r="G340" s="2">
        <v>600</v>
      </c>
      <c r="H340" s="2">
        <v>4.5</v>
      </c>
      <c r="I340" t="s">
        <v>32</v>
      </c>
      <c r="J340" s="3">
        <v>0.03</v>
      </c>
      <c r="K340" s="4">
        <f t="shared" si="20"/>
        <v>18</v>
      </c>
      <c r="L340" t="str">
        <f t="shared" si="21"/>
        <v>Agosto</v>
      </c>
    </row>
    <row r="341" spans="1:12" x14ac:dyDescent="0.25">
      <c r="A341">
        <v>340</v>
      </c>
      <c r="B341" s="1">
        <v>45883</v>
      </c>
      <c r="C341" t="s">
        <v>10</v>
      </c>
      <c r="D341" t="s">
        <v>99</v>
      </c>
      <c r="E341" t="s">
        <v>40</v>
      </c>
      <c r="F341">
        <v>1</v>
      </c>
      <c r="G341" s="2">
        <v>1500</v>
      </c>
      <c r="H341" s="2">
        <v>105.16</v>
      </c>
      <c r="I341" t="s">
        <v>32</v>
      </c>
      <c r="J341" s="3">
        <v>0.03</v>
      </c>
      <c r="K341" s="4">
        <f t="shared" si="20"/>
        <v>45</v>
      </c>
      <c r="L341" t="str">
        <f t="shared" si="21"/>
        <v>Agosto</v>
      </c>
    </row>
    <row r="342" spans="1:12" x14ac:dyDescent="0.25">
      <c r="A342">
        <v>341</v>
      </c>
      <c r="B342" s="1">
        <v>45883</v>
      </c>
      <c r="C342" t="s">
        <v>10</v>
      </c>
      <c r="D342" t="s">
        <v>273</v>
      </c>
      <c r="E342" t="s">
        <v>26</v>
      </c>
      <c r="F342">
        <v>1</v>
      </c>
      <c r="G342" s="2">
        <v>3000</v>
      </c>
      <c r="H342" s="2">
        <v>210.32</v>
      </c>
      <c r="I342" t="s">
        <v>32</v>
      </c>
      <c r="J342" s="3">
        <v>0.03</v>
      </c>
      <c r="K342" s="4">
        <f t="shared" si="20"/>
        <v>90</v>
      </c>
      <c r="L342" t="str">
        <f t="shared" si="21"/>
        <v>Agosto</v>
      </c>
    </row>
    <row r="343" spans="1:12" x14ac:dyDescent="0.25">
      <c r="A343">
        <v>342</v>
      </c>
      <c r="B343" s="1">
        <v>45883</v>
      </c>
      <c r="C343" t="s">
        <v>10</v>
      </c>
      <c r="D343" t="s">
        <v>274</v>
      </c>
      <c r="E343" t="s">
        <v>16</v>
      </c>
      <c r="F343">
        <v>1</v>
      </c>
      <c r="G343" s="2">
        <v>350</v>
      </c>
      <c r="H343" s="2"/>
      <c r="I343" t="s">
        <v>32</v>
      </c>
      <c r="J343" s="3">
        <v>0.03</v>
      </c>
      <c r="K343" s="4">
        <f t="shared" si="20"/>
        <v>10.5</v>
      </c>
      <c r="L343" t="str">
        <f t="shared" si="21"/>
        <v>Agosto</v>
      </c>
    </row>
    <row r="344" spans="1:12" x14ac:dyDescent="0.25">
      <c r="A344">
        <v>343</v>
      </c>
      <c r="B344" s="1">
        <v>45883</v>
      </c>
      <c r="C344" t="s">
        <v>10</v>
      </c>
      <c r="D344" t="s">
        <v>51</v>
      </c>
      <c r="E344" t="s">
        <v>11</v>
      </c>
      <c r="F344">
        <v>1</v>
      </c>
      <c r="G344" s="2">
        <v>600</v>
      </c>
      <c r="H344" s="2">
        <v>3.75</v>
      </c>
      <c r="I344" t="s">
        <v>32</v>
      </c>
      <c r="J344" s="3">
        <v>0.03</v>
      </c>
      <c r="K344" s="4">
        <f t="shared" si="20"/>
        <v>18</v>
      </c>
      <c r="L344" t="str">
        <f t="shared" si="21"/>
        <v>Agosto</v>
      </c>
    </row>
    <row r="345" spans="1:12" x14ac:dyDescent="0.25">
      <c r="A345">
        <v>344</v>
      </c>
      <c r="B345" s="1">
        <v>45883</v>
      </c>
      <c r="C345" t="s">
        <v>10</v>
      </c>
      <c r="D345" t="s">
        <v>85</v>
      </c>
      <c r="E345" t="s">
        <v>11</v>
      </c>
      <c r="F345">
        <v>1</v>
      </c>
      <c r="G345" s="2">
        <v>600</v>
      </c>
      <c r="H345" s="2">
        <v>22.38</v>
      </c>
      <c r="I345" t="s">
        <v>32</v>
      </c>
      <c r="J345" s="3">
        <v>0.03</v>
      </c>
      <c r="K345" s="4">
        <f t="shared" si="20"/>
        <v>18</v>
      </c>
      <c r="L345" t="str">
        <f t="shared" si="21"/>
        <v>Agosto</v>
      </c>
    </row>
    <row r="346" spans="1:12" x14ac:dyDescent="0.25">
      <c r="A346">
        <v>345</v>
      </c>
      <c r="B346" s="1">
        <v>45883</v>
      </c>
      <c r="C346" t="s">
        <v>10</v>
      </c>
      <c r="D346" t="s">
        <v>275</v>
      </c>
      <c r="E346" t="s">
        <v>20</v>
      </c>
      <c r="F346">
        <v>1</v>
      </c>
      <c r="G346" s="2">
        <v>350</v>
      </c>
      <c r="H346" s="2">
        <v>2.63</v>
      </c>
      <c r="I346" t="s">
        <v>32</v>
      </c>
      <c r="J346" s="3">
        <v>0.03</v>
      </c>
      <c r="K346" s="4">
        <f t="shared" si="20"/>
        <v>10.5</v>
      </c>
      <c r="L346" t="str">
        <f t="shared" si="21"/>
        <v>Agosto</v>
      </c>
    </row>
    <row r="347" spans="1:12" x14ac:dyDescent="0.25">
      <c r="A347">
        <v>346</v>
      </c>
      <c r="B347" s="1">
        <v>45883</v>
      </c>
      <c r="C347" t="s">
        <v>10</v>
      </c>
      <c r="D347" t="s">
        <v>76</v>
      </c>
      <c r="E347" t="s">
        <v>11</v>
      </c>
      <c r="F347">
        <v>1</v>
      </c>
      <c r="G347" s="2">
        <v>600</v>
      </c>
      <c r="H347" s="2"/>
      <c r="I347" t="s">
        <v>32</v>
      </c>
      <c r="J347" s="3">
        <v>0.03</v>
      </c>
      <c r="K347" s="4">
        <f t="shared" si="20"/>
        <v>18</v>
      </c>
      <c r="L347" t="str">
        <f t="shared" si="21"/>
        <v>Agosto</v>
      </c>
    </row>
    <row r="348" spans="1:12" x14ac:dyDescent="0.25">
      <c r="A348">
        <v>347</v>
      </c>
      <c r="B348" s="1">
        <v>45883</v>
      </c>
      <c r="C348" t="s">
        <v>10</v>
      </c>
      <c r="D348" t="s">
        <v>276</v>
      </c>
      <c r="E348" t="s">
        <v>13</v>
      </c>
      <c r="F348">
        <v>1</v>
      </c>
      <c r="G348" s="2">
        <v>700</v>
      </c>
      <c r="H348" s="2">
        <v>5.25</v>
      </c>
      <c r="I348" t="s">
        <v>32</v>
      </c>
      <c r="J348" s="3">
        <v>0.03</v>
      </c>
      <c r="K348" s="4">
        <f t="shared" si="20"/>
        <v>21</v>
      </c>
      <c r="L348" t="str">
        <f t="shared" si="21"/>
        <v>Agosto</v>
      </c>
    </row>
    <row r="349" spans="1:12" x14ac:dyDescent="0.25">
      <c r="A349">
        <v>348</v>
      </c>
      <c r="B349" s="1">
        <v>45883</v>
      </c>
      <c r="C349" t="s">
        <v>10</v>
      </c>
      <c r="D349" t="s">
        <v>277</v>
      </c>
      <c r="E349" t="s">
        <v>13</v>
      </c>
      <c r="F349">
        <v>1</v>
      </c>
      <c r="G349" s="2">
        <v>1000</v>
      </c>
      <c r="H349" s="2">
        <v>113.66</v>
      </c>
      <c r="I349" t="s">
        <v>32</v>
      </c>
      <c r="J349" s="3">
        <v>0.03</v>
      </c>
      <c r="K349" s="4">
        <f t="shared" si="20"/>
        <v>30</v>
      </c>
      <c r="L349" t="str">
        <f t="shared" si="21"/>
        <v>Agosto</v>
      </c>
    </row>
    <row r="350" spans="1:12" x14ac:dyDescent="0.25">
      <c r="A350">
        <v>349</v>
      </c>
      <c r="B350" s="1">
        <v>45884</v>
      </c>
      <c r="C350" t="s">
        <v>10</v>
      </c>
      <c r="D350" t="s">
        <v>278</v>
      </c>
      <c r="E350" t="s">
        <v>11</v>
      </c>
      <c r="F350">
        <v>1</v>
      </c>
      <c r="G350" s="2">
        <v>600</v>
      </c>
      <c r="H350" s="2"/>
      <c r="I350" t="s">
        <v>32</v>
      </c>
      <c r="J350" s="3">
        <v>0.03</v>
      </c>
      <c r="K350" s="4">
        <f t="shared" si="20"/>
        <v>18</v>
      </c>
      <c r="L350" t="str">
        <f t="shared" si="21"/>
        <v>Agosto</v>
      </c>
    </row>
    <row r="351" spans="1:12" x14ac:dyDescent="0.25">
      <c r="A351">
        <v>350</v>
      </c>
      <c r="B351" s="1">
        <v>45887</v>
      </c>
      <c r="C351" t="s">
        <v>10</v>
      </c>
      <c r="D351" t="s">
        <v>279</v>
      </c>
      <c r="E351" t="s">
        <v>16</v>
      </c>
      <c r="F351">
        <v>1</v>
      </c>
      <c r="G351" s="2">
        <v>350</v>
      </c>
      <c r="H351" s="2"/>
      <c r="I351" t="s">
        <v>323</v>
      </c>
      <c r="J351" s="3">
        <v>0.03</v>
      </c>
      <c r="K351" s="4">
        <f t="shared" si="20"/>
        <v>10.5</v>
      </c>
      <c r="L351" t="str">
        <f t="shared" si="21"/>
        <v>Agosto</v>
      </c>
    </row>
    <row r="352" spans="1:12" x14ac:dyDescent="0.25">
      <c r="A352">
        <v>351</v>
      </c>
      <c r="B352" s="1">
        <v>45887</v>
      </c>
      <c r="C352" t="s">
        <v>10</v>
      </c>
      <c r="D352" t="s">
        <v>280</v>
      </c>
      <c r="E352" t="s">
        <v>296</v>
      </c>
      <c r="F352">
        <v>1</v>
      </c>
      <c r="G352" s="2">
        <v>2500</v>
      </c>
      <c r="H352" s="2">
        <v>90.54</v>
      </c>
      <c r="I352" t="s">
        <v>32</v>
      </c>
      <c r="J352" s="3">
        <v>0.03</v>
      </c>
      <c r="K352" s="4">
        <f t="shared" si="20"/>
        <v>75</v>
      </c>
      <c r="L352" t="str">
        <f t="shared" si="21"/>
        <v>Agosto</v>
      </c>
    </row>
    <row r="353" spans="1:12" x14ac:dyDescent="0.25">
      <c r="A353">
        <v>352</v>
      </c>
      <c r="B353" s="1">
        <v>45887</v>
      </c>
      <c r="C353" t="s">
        <v>10</v>
      </c>
      <c r="D353" t="s">
        <v>73</v>
      </c>
      <c r="E353" t="s">
        <v>297</v>
      </c>
      <c r="F353">
        <v>1</v>
      </c>
      <c r="G353" s="2">
        <v>2300</v>
      </c>
      <c r="H353" s="2"/>
      <c r="I353" t="s">
        <v>32</v>
      </c>
      <c r="J353" s="3">
        <v>0.03</v>
      </c>
      <c r="K353" s="4">
        <f t="shared" si="20"/>
        <v>69</v>
      </c>
      <c r="L353" t="str">
        <f t="shared" si="21"/>
        <v>Agosto</v>
      </c>
    </row>
    <row r="354" spans="1:12" x14ac:dyDescent="0.25">
      <c r="A354">
        <v>353</v>
      </c>
      <c r="B354" s="1">
        <v>45887</v>
      </c>
      <c r="C354" t="s">
        <v>10</v>
      </c>
      <c r="D354" t="s">
        <v>84</v>
      </c>
      <c r="E354" t="s">
        <v>13</v>
      </c>
      <c r="F354">
        <v>1</v>
      </c>
      <c r="G354" s="2">
        <v>3000</v>
      </c>
      <c r="H354" s="2">
        <v>22.5</v>
      </c>
      <c r="I354" t="s">
        <v>32</v>
      </c>
      <c r="J354" s="3">
        <v>0.03</v>
      </c>
      <c r="K354" s="4">
        <f t="shared" si="20"/>
        <v>90</v>
      </c>
      <c r="L354" t="str">
        <f t="shared" si="21"/>
        <v>Agosto</v>
      </c>
    </row>
    <row r="355" spans="1:12" x14ac:dyDescent="0.25">
      <c r="A355">
        <v>354</v>
      </c>
      <c r="B355" s="1">
        <v>45887</v>
      </c>
      <c r="C355" t="s">
        <v>10</v>
      </c>
      <c r="D355" t="s">
        <v>281</v>
      </c>
      <c r="E355" t="s">
        <v>296</v>
      </c>
      <c r="F355">
        <v>1</v>
      </c>
      <c r="G355" s="2">
        <v>2500</v>
      </c>
      <c r="H355" s="2">
        <v>90.54</v>
      </c>
      <c r="I355" t="s">
        <v>32</v>
      </c>
      <c r="J355" s="3">
        <v>0.03</v>
      </c>
      <c r="K355" s="4">
        <f t="shared" si="20"/>
        <v>75</v>
      </c>
      <c r="L355" t="str">
        <f t="shared" si="21"/>
        <v>Agosto</v>
      </c>
    </row>
    <row r="356" spans="1:12" x14ac:dyDescent="0.25">
      <c r="A356">
        <v>355</v>
      </c>
      <c r="B356" s="1">
        <v>45889</v>
      </c>
      <c r="C356" t="s">
        <v>10</v>
      </c>
      <c r="D356" t="s">
        <v>278</v>
      </c>
      <c r="E356" t="s">
        <v>20</v>
      </c>
      <c r="F356">
        <v>1</v>
      </c>
      <c r="G356" s="2">
        <v>350</v>
      </c>
      <c r="H356" s="2">
        <v>12.68</v>
      </c>
      <c r="I356" t="s">
        <v>32</v>
      </c>
      <c r="J356" s="3">
        <v>0.03</v>
      </c>
      <c r="K356" s="4">
        <f t="shared" si="20"/>
        <v>10.5</v>
      </c>
      <c r="L356" t="str">
        <f t="shared" si="21"/>
        <v>Agosto</v>
      </c>
    </row>
    <row r="357" spans="1:12" x14ac:dyDescent="0.25">
      <c r="A357">
        <v>356</v>
      </c>
      <c r="B357" s="1">
        <v>45890</v>
      </c>
      <c r="C357" t="s">
        <v>10</v>
      </c>
      <c r="D357" t="s">
        <v>92</v>
      </c>
      <c r="E357" t="s">
        <v>40</v>
      </c>
      <c r="F357">
        <v>1</v>
      </c>
      <c r="G357" s="2">
        <v>1500</v>
      </c>
      <c r="H357" s="2"/>
      <c r="I357" t="s">
        <v>32</v>
      </c>
      <c r="J357" s="3">
        <v>0.03</v>
      </c>
      <c r="K357" s="4">
        <f t="shared" si="20"/>
        <v>45</v>
      </c>
      <c r="L357" t="str">
        <f t="shared" si="21"/>
        <v>Agosto</v>
      </c>
    </row>
    <row r="358" spans="1:12" x14ac:dyDescent="0.25">
      <c r="A358">
        <v>357</v>
      </c>
      <c r="B358" s="1">
        <v>45890</v>
      </c>
      <c r="C358" t="s">
        <v>10</v>
      </c>
      <c r="D358" t="s">
        <v>282</v>
      </c>
      <c r="E358" t="s">
        <v>296</v>
      </c>
      <c r="F358">
        <v>1</v>
      </c>
      <c r="G358" s="2">
        <v>7000</v>
      </c>
      <c r="H358" s="2"/>
      <c r="I358" t="s">
        <v>32</v>
      </c>
      <c r="J358" s="3">
        <v>0.03</v>
      </c>
      <c r="K358" s="4">
        <f t="shared" si="20"/>
        <v>210</v>
      </c>
      <c r="L358" t="str">
        <f t="shared" si="21"/>
        <v>Agosto</v>
      </c>
    </row>
    <row r="359" spans="1:12" x14ac:dyDescent="0.25">
      <c r="A359">
        <v>358</v>
      </c>
      <c r="B359" s="1">
        <v>45890</v>
      </c>
      <c r="C359" t="s">
        <v>10</v>
      </c>
      <c r="D359" t="s">
        <v>283</v>
      </c>
      <c r="E359" t="s">
        <v>11</v>
      </c>
      <c r="F359">
        <v>1</v>
      </c>
      <c r="G359" s="2">
        <v>600</v>
      </c>
      <c r="H359" s="2">
        <v>32.340000000000003</v>
      </c>
      <c r="I359" t="s">
        <v>32</v>
      </c>
      <c r="J359" s="3">
        <v>0.03</v>
      </c>
      <c r="K359" s="4">
        <f t="shared" ref="K359:K383" si="22">G359*J359</f>
        <v>18</v>
      </c>
      <c r="L359" t="str">
        <f t="shared" ref="L359:L383" si="23">PROPER(TEXT(B359,"mmmm"))</f>
        <v>Agosto</v>
      </c>
    </row>
    <row r="360" spans="1:12" x14ac:dyDescent="0.25">
      <c r="A360">
        <v>359</v>
      </c>
      <c r="B360" s="1">
        <v>45890</v>
      </c>
      <c r="C360" t="s">
        <v>10</v>
      </c>
      <c r="D360" t="s">
        <v>68</v>
      </c>
      <c r="E360" t="s">
        <v>11</v>
      </c>
      <c r="F360">
        <v>1</v>
      </c>
      <c r="G360" s="2">
        <v>600</v>
      </c>
      <c r="H360" s="2">
        <v>32.340000000000003</v>
      </c>
      <c r="I360" t="s">
        <v>32</v>
      </c>
      <c r="J360" s="3">
        <v>0.03</v>
      </c>
      <c r="K360" s="4">
        <f t="shared" si="22"/>
        <v>18</v>
      </c>
      <c r="L360" t="str">
        <f t="shared" si="23"/>
        <v>Agosto</v>
      </c>
    </row>
    <row r="361" spans="1:12" x14ac:dyDescent="0.25">
      <c r="A361">
        <v>360</v>
      </c>
      <c r="B361" s="1">
        <v>45890</v>
      </c>
      <c r="C361" t="s">
        <v>10</v>
      </c>
      <c r="D361" t="s">
        <v>68</v>
      </c>
      <c r="E361" t="s">
        <v>13</v>
      </c>
      <c r="F361">
        <v>1</v>
      </c>
      <c r="G361" s="2">
        <v>2400</v>
      </c>
      <c r="H361" s="2">
        <v>272.89999999999998</v>
      </c>
      <c r="I361" t="s">
        <v>32</v>
      </c>
      <c r="J361" s="3">
        <v>0.03</v>
      </c>
      <c r="K361" s="4">
        <f t="shared" si="22"/>
        <v>72</v>
      </c>
      <c r="L361" t="str">
        <f t="shared" si="23"/>
        <v>Agosto</v>
      </c>
    </row>
    <row r="362" spans="1:12" x14ac:dyDescent="0.25">
      <c r="A362">
        <v>361</v>
      </c>
      <c r="B362" s="1">
        <v>45890</v>
      </c>
      <c r="C362" t="s">
        <v>10</v>
      </c>
      <c r="D362" t="s">
        <v>284</v>
      </c>
      <c r="E362" t="s">
        <v>11</v>
      </c>
      <c r="F362">
        <v>1</v>
      </c>
      <c r="G362" s="2">
        <v>600</v>
      </c>
      <c r="H362" s="2">
        <v>11.19</v>
      </c>
      <c r="I362" t="s">
        <v>32</v>
      </c>
      <c r="J362" s="3">
        <v>0.03</v>
      </c>
      <c r="K362" s="4">
        <f t="shared" si="22"/>
        <v>18</v>
      </c>
      <c r="L362" t="str">
        <f t="shared" si="23"/>
        <v>Agosto</v>
      </c>
    </row>
    <row r="363" spans="1:12" x14ac:dyDescent="0.25">
      <c r="A363">
        <v>362</v>
      </c>
      <c r="B363" s="1">
        <v>45890</v>
      </c>
      <c r="C363" t="s">
        <v>10</v>
      </c>
      <c r="D363" t="s">
        <v>270</v>
      </c>
      <c r="E363" t="s">
        <v>20</v>
      </c>
      <c r="F363">
        <v>1</v>
      </c>
      <c r="G363" s="2">
        <v>350</v>
      </c>
      <c r="H363" s="2">
        <v>13.06</v>
      </c>
      <c r="I363" t="s">
        <v>32</v>
      </c>
      <c r="J363" s="3">
        <v>0.03</v>
      </c>
      <c r="K363" s="4">
        <f t="shared" si="22"/>
        <v>10.5</v>
      </c>
      <c r="L363" t="str">
        <f t="shared" si="23"/>
        <v>Agosto</v>
      </c>
    </row>
    <row r="364" spans="1:12" x14ac:dyDescent="0.25">
      <c r="A364">
        <v>363</v>
      </c>
      <c r="B364" s="1">
        <v>45890</v>
      </c>
      <c r="C364" t="s">
        <v>10</v>
      </c>
      <c r="D364" t="s">
        <v>270</v>
      </c>
      <c r="E364" t="s">
        <v>13</v>
      </c>
      <c r="F364">
        <v>1</v>
      </c>
      <c r="G364" s="2">
        <v>3000</v>
      </c>
      <c r="H364" s="2">
        <v>341.13</v>
      </c>
      <c r="I364" t="s">
        <v>32</v>
      </c>
      <c r="J364" s="3">
        <v>0.03</v>
      </c>
      <c r="K364" s="4">
        <f t="shared" si="22"/>
        <v>90</v>
      </c>
      <c r="L364" t="str">
        <f t="shared" si="23"/>
        <v>Agosto</v>
      </c>
    </row>
    <row r="365" spans="1:12" x14ac:dyDescent="0.25">
      <c r="A365">
        <v>364</v>
      </c>
      <c r="B365" s="1">
        <v>45890</v>
      </c>
      <c r="C365" t="s">
        <v>10</v>
      </c>
      <c r="D365" t="s">
        <v>285</v>
      </c>
      <c r="E365" t="s">
        <v>11</v>
      </c>
      <c r="F365">
        <v>1</v>
      </c>
      <c r="G365" s="2">
        <v>600</v>
      </c>
      <c r="H365" s="2"/>
      <c r="I365" t="s">
        <v>32</v>
      </c>
      <c r="J365" s="3">
        <v>0.03</v>
      </c>
      <c r="K365" s="4">
        <f t="shared" si="22"/>
        <v>18</v>
      </c>
      <c r="L365" t="str">
        <f t="shared" si="23"/>
        <v>Agosto</v>
      </c>
    </row>
    <row r="366" spans="1:12" x14ac:dyDescent="0.25">
      <c r="A366">
        <v>365</v>
      </c>
      <c r="B366" s="1">
        <v>45890</v>
      </c>
      <c r="C366" t="s">
        <v>10</v>
      </c>
      <c r="D366" t="s">
        <v>286</v>
      </c>
      <c r="E366" t="s">
        <v>11</v>
      </c>
      <c r="F366">
        <v>1</v>
      </c>
      <c r="G366" s="2">
        <v>600</v>
      </c>
      <c r="H366" s="2"/>
      <c r="I366" t="s">
        <v>32</v>
      </c>
      <c r="J366" s="3">
        <v>0.03</v>
      </c>
      <c r="K366" s="4">
        <f t="shared" si="22"/>
        <v>18</v>
      </c>
      <c r="L366" t="str">
        <f t="shared" si="23"/>
        <v>Agosto</v>
      </c>
    </row>
    <row r="367" spans="1:12" x14ac:dyDescent="0.25">
      <c r="A367">
        <v>366</v>
      </c>
      <c r="B367" s="1">
        <v>45890</v>
      </c>
      <c r="C367" t="s">
        <v>10</v>
      </c>
      <c r="D367" t="s">
        <v>287</v>
      </c>
      <c r="E367" t="s">
        <v>11</v>
      </c>
      <c r="F367">
        <v>1</v>
      </c>
      <c r="G367" s="2">
        <v>600</v>
      </c>
      <c r="H367" s="2">
        <v>4.5</v>
      </c>
      <c r="I367" t="s">
        <v>32</v>
      </c>
      <c r="J367" s="3">
        <v>0.03</v>
      </c>
      <c r="K367" s="4">
        <f t="shared" si="22"/>
        <v>18</v>
      </c>
      <c r="L367" t="str">
        <f t="shared" si="23"/>
        <v>Agosto</v>
      </c>
    </row>
    <row r="368" spans="1:12" x14ac:dyDescent="0.25">
      <c r="A368">
        <v>367</v>
      </c>
      <c r="B368" s="1">
        <v>45890</v>
      </c>
      <c r="C368" t="s">
        <v>10</v>
      </c>
      <c r="D368" t="s">
        <v>288</v>
      </c>
      <c r="E368" t="s">
        <v>31</v>
      </c>
      <c r="F368">
        <v>1</v>
      </c>
      <c r="G368" s="2">
        <v>1500</v>
      </c>
      <c r="H368" s="2">
        <v>68.94</v>
      </c>
      <c r="I368" t="s">
        <v>32</v>
      </c>
      <c r="J368" s="3">
        <v>0.03</v>
      </c>
      <c r="K368" s="4">
        <f t="shared" si="22"/>
        <v>45</v>
      </c>
      <c r="L368" t="str">
        <f t="shared" si="23"/>
        <v>Agosto</v>
      </c>
    </row>
    <row r="369" spans="1:12" x14ac:dyDescent="0.25">
      <c r="A369">
        <v>368</v>
      </c>
      <c r="B369" s="1">
        <v>45894</v>
      </c>
      <c r="C369" t="s">
        <v>10</v>
      </c>
      <c r="D369" t="s">
        <v>76</v>
      </c>
      <c r="E369" t="s">
        <v>40</v>
      </c>
      <c r="F369">
        <v>1</v>
      </c>
      <c r="G369" s="2">
        <v>2000</v>
      </c>
      <c r="H369" s="2">
        <v>227.2</v>
      </c>
      <c r="I369" t="s">
        <v>323</v>
      </c>
      <c r="J369" s="3">
        <v>0.03</v>
      </c>
      <c r="K369" s="4">
        <f t="shared" si="22"/>
        <v>60</v>
      </c>
      <c r="L369" t="str">
        <f t="shared" si="23"/>
        <v>Agosto</v>
      </c>
    </row>
    <row r="370" spans="1:12" x14ac:dyDescent="0.25">
      <c r="A370">
        <v>369</v>
      </c>
      <c r="B370" s="1">
        <v>45894</v>
      </c>
      <c r="C370" t="s">
        <v>10</v>
      </c>
      <c r="D370" t="s">
        <v>71</v>
      </c>
      <c r="E370" t="s">
        <v>31</v>
      </c>
      <c r="F370">
        <v>1</v>
      </c>
      <c r="G370" s="2">
        <v>1500</v>
      </c>
      <c r="H370" s="2">
        <v>170.4</v>
      </c>
      <c r="I370" t="s">
        <v>32</v>
      </c>
      <c r="J370" s="3">
        <v>0.03</v>
      </c>
      <c r="K370" s="4">
        <f t="shared" si="22"/>
        <v>45</v>
      </c>
      <c r="L370" t="str">
        <f t="shared" si="23"/>
        <v>Agosto</v>
      </c>
    </row>
    <row r="371" spans="1:12" x14ac:dyDescent="0.25">
      <c r="A371">
        <v>370</v>
      </c>
      <c r="B371" s="1">
        <v>45894</v>
      </c>
      <c r="C371" t="s">
        <v>10</v>
      </c>
      <c r="D371" t="s">
        <v>289</v>
      </c>
      <c r="E371" t="s">
        <v>11</v>
      </c>
      <c r="F371">
        <v>1</v>
      </c>
      <c r="G371" s="2">
        <v>600</v>
      </c>
      <c r="H371" s="2"/>
      <c r="I371" t="s">
        <v>32</v>
      </c>
      <c r="J371" s="3">
        <v>0.03</v>
      </c>
      <c r="K371" s="4">
        <f t="shared" si="22"/>
        <v>18</v>
      </c>
      <c r="L371" t="str">
        <f t="shared" si="23"/>
        <v>Agosto</v>
      </c>
    </row>
    <row r="372" spans="1:12" x14ac:dyDescent="0.25">
      <c r="A372">
        <v>371</v>
      </c>
      <c r="B372" s="1">
        <v>45894</v>
      </c>
      <c r="C372" t="s">
        <v>10</v>
      </c>
      <c r="D372" t="s">
        <v>285</v>
      </c>
      <c r="E372" t="s">
        <v>40</v>
      </c>
      <c r="F372">
        <v>1</v>
      </c>
      <c r="G372" s="2">
        <v>2400</v>
      </c>
      <c r="H372" s="2"/>
      <c r="I372" t="s">
        <v>32</v>
      </c>
      <c r="J372" s="3">
        <v>0.03</v>
      </c>
      <c r="K372" s="4">
        <f t="shared" si="22"/>
        <v>72</v>
      </c>
      <c r="L372" t="str">
        <f t="shared" si="23"/>
        <v>Agosto</v>
      </c>
    </row>
    <row r="373" spans="1:12" x14ac:dyDescent="0.25">
      <c r="A373">
        <v>372</v>
      </c>
      <c r="B373" s="1">
        <v>45896</v>
      </c>
      <c r="C373" t="s">
        <v>10</v>
      </c>
      <c r="D373" t="s">
        <v>290</v>
      </c>
      <c r="E373" t="s">
        <v>11</v>
      </c>
      <c r="F373">
        <v>1</v>
      </c>
      <c r="G373" s="2">
        <v>600</v>
      </c>
      <c r="H373" s="2">
        <v>4.5</v>
      </c>
      <c r="I373" t="s">
        <v>32</v>
      </c>
      <c r="J373" s="3">
        <v>0.03</v>
      </c>
      <c r="K373" s="4">
        <f t="shared" si="22"/>
        <v>18</v>
      </c>
      <c r="L373" t="str">
        <f t="shared" si="23"/>
        <v>Agosto</v>
      </c>
    </row>
    <row r="374" spans="1:12" x14ac:dyDescent="0.25">
      <c r="A374">
        <v>373</v>
      </c>
      <c r="B374" s="1">
        <v>45896</v>
      </c>
      <c r="C374" t="s">
        <v>10</v>
      </c>
      <c r="D374" t="s">
        <v>291</v>
      </c>
      <c r="E374" t="s">
        <v>296</v>
      </c>
      <c r="F374">
        <v>1</v>
      </c>
      <c r="G374" s="2">
        <v>1500</v>
      </c>
      <c r="H374" s="2"/>
      <c r="I374" t="s">
        <v>32</v>
      </c>
      <c r="J374" s="3">
        <v>0.03</v>
      </c>
      <c r="K374" s="4">
        <f t="shared" si="22"/>
        <v>45</v>
      </c>
      <c r="L374" t="str">
        <f t="shared" si="23"/>
        <v>Agosto</v>
      </c>
    </row>
    <row r="375" spans="1:12" x14ac:dyDescent="0.25">
      <c r="A375">
        <v>374</v>
      </c>
      <c r="B375" s="1">
        <v>45896</v>
      </c>
      <c r="C375" t="s">
        <v>10</v>
      </c>
      <c r="D375" t="s">
        <v>292</v>
      </c>
      <c r="E375" t="s">
        <v>11</v>
      </c>
      <c r="F375">
        <v>1</v>
      </c>
      <c r="G375" s="2">
        <v>600</v>
      </c>
      <c r="H375" s="2"/>
      <c r="I375" t="s">
        <v>32</v>
      </c>
      <c r="J375" s="3">
        <v>0.03</v>
      </c>
      <c r="K375" s="4">
        <f t="shared" si="22"/>
        <v>18</v>
      </c>
      <c r="L375" t="str">
        <f t="shared" si="23"/>
        <v>Agosto</v>
      </c>
    </row>
    <row r="376" spans="1:12" x14ac:dyDescent="0.25">
      <c r="A376">
        <v>375</v>
      </c>
      <c r="B376" s="1">
        <v>45896</v>
      </c>
      <c r="C376" t="s">
        <v>10</v>
      </c>
      <c r="D376" t="s">
        <v>293</v>
      </c>
      <c r="E376" t="s">
        <v>16</v>
      </c>
      <c r="F376">
        <v>1</v>
      </c>
      <c r="G376" s="2">
        <v>350</v>
      </c>
      <c r="H376" s="2"/>
      <c r="I376" t="s">
        <v>32</v>
      </c>
      <c r="J376" s="3">
        <v>0.03</v>
      </c>
      <c r="K376" s="4">
        <f t="shared" si="22"/>
        <v>10.5</v>
      </c>
      <c r="L376" t="str">
        <f t="shared" si="23"/>
        <v>Agosto</v>
      </c>
    </row>
    <row r="377" spans="1:12" x14ac:dyDescent="0.25">
      <c r="A377">
        <v>376</v>
      </c>
      <c r="B377" s="1">
        <v>45896</v>
      </c>
      <c r="C377" t="s">
        <v>10</v>
      </c>
      <c r="D377" t="s">
        <v>271</v>
      </c>
      <c r="E377" t="s">
        <v>298</v>
      </c>
      <c r="F377">
        <v>1</v>
      </c>
      <c r="G377" s="2">
        <v>3000</v>
      </c>
      <c r="H377" s="2"/>
      <c r="I377" t="s">
        <v>32</v>
      </c>
      <c r="J377" s="3">
        <v>0.03</v>
      </c>
      <c r="K377" s="4">
        <f t="shared" si="22"/>
        <v>90</v>
      </c>
      <c r="L377" t="str">
        <f t="shared" si="23"/>
        <v>Agosto</v>
      </c>
    </row>
    <row r="378" spans="1:12" x14ac:dyDescent="0.25">
      <c r="A378">
        <v>377</v>
      </c>
      <c r="B378" s="1">
        <v>45896</v>
      </c>
      <c r="C378" t="s">
        <v>10</v>
      </c>
      <c r="D378" t="s">
        <v>294</v>
      </c>
      <c r="E378" t="s">
        <v>11</v>
      </c>
      <c r="F378">
        <v>1</v>
      </c>
      <c r="G378" s="2">
        <v>600</v>
      </c>
      <c r="H378" s="2">
        <v>4.5</v>
      </c>
      <c r="I378" t="s">
        <v>32</v>
      </c>
      <c r="J378" s="3">
        <v>0.03</v>
      </c>
      <c r="K378" s="4">
        <f t="shared" si="22"/>
        <v>18</v>
      </c>
      <c r="L378" t="str">
        <f t="shared" si="23"/>
        <v>Agosto</v>
      </c>
    </row>
    <row r="379" spans="1:12" x14ac:dyDescent="0.25">
      <c r="A379">
        <v>378</v>
      </c>
      <c r="B379" s="1">
        <v>45896</v>
      </c>
      <c r="C379" t="s">
        <v>10</v>
      </c>
      <c r="D379" t="s">
        <v>241</v>
      </c>
      <c r="E379" t="s">
        <v>11</v>
      </c>
      <c r="F379">
        <v>1</v>
      </c>
      <c r="G379" s="2">
        <v>600</v>
      </c>
      <c r="H379" s="2"/>
      <c r="I379" t="s">
        <v>32</v>
      </c>
      <c r="J379" s="3">
        <v>0.03</v>
      </c>
      <c r="K379" s="4">
        <f t="shared" si="22"/>
        <v>18</v>
      </c>
      <c r="L379" t="str">
        <f t="shared" si="23"/>
        <v>Agosto</v>
      </c>
    </row>
    <row r="380" spans="1:12" x14ac:dyDescent="0.25">
      <c r="A380">
        <v>379</v>
      </c>
      <c r="B380" s="1">
        <v>45896</v>
      </c>
      <c r="C380" t="s">
        <v>10</v>
      </c>
      <c r="D380" t="s">
        <v>276</v>
      </c>
      <c r="E380" t="s">
        <v>13</v>
      </c>
      <c r="F380">
        <v>1</v>
      </c>
      <c r="G380" s="2">
        <v>2300</v>
      </c>
      <c r="H380" s="2">
        <v>36.340000000000003</v>
      </c>
      <c r="I380" t="s">
        <v>32</v>
      </c>
      <c r="J380" s="3">
        <v>0.03</v>
      </c>
      <c r="K380" s="4">
        <f t="shared" si="22"/>
        <v>69</v>
      </c>
      <c r="L380" t="str">
        <f t="shared" si="23"/>
        <v>Agosto</v>
      </c>
    </row>
    <row r="381" spans="1:12" x14ac:dyDescent="0.25">
      <c r="A381">
        <v>380</v>
      </c>
      <c r="B381" s="1">
        <v>45897</v>
      </c>
      <c r="C381" t="s">
        <v>10</v>
      </c>
      <c r="D381" t="s">
        <v>163</v>
      </c>
      <c r="E381" t="s">
        <v>296</v>
      </c>
      <c r="F381">
        <v>1</v>
      </c>
      <c r="G381" s="2">
        <v>2800</v>
      </c>
      <c r="H381" s="2">
        <v>141.80000000000001</v>
      </c>
      <c r="I381" t="s">
        <v>32</v>
      </c>
      <c r="J381" s="3">
        <v>0.03</v>
      </c>
      <c r="K381" s="4">
        <f t="shared" si="22"/>
        <v>84</v>
      </c>
      <c r="L381" t="str">
        <f t="shared" si="23"/>
        <v>Agosto</v>
      </c>
    </row>
    <row r="382" spans="1:12" x14ac:dyDescent="0.25">
      <c r="A382">
        <v>381</v>
      </c>
      <c r="B382" s="1">
        <v>45897</v>
      </c>
      <c r="C382" t="s">
        <v>10</v>
      </c>
      <c r="D382" t="s">
        <v>295</v>
      </c>
      <c r="E382" t="s">
        <v>153</v>
      </c>
      <c r="F382">
        <v>1</v>
      </c>
      <c r="G382" s="2">
        <v>1500</v>
      </c>
      <c r="H382" s="2">
        <v>23.7</v>
      </c>
      <c r="I382" t="s">
        <v>32</v>
      </c>
      <c r="J382" s="3">
        <v>0.03</v>
      </c>
      <c r="K382" s="4">
        <f t="shared" si="22"/>
        <v>45</v>
      </c>
      <c r="L382" t="str">
        <f t="shared" si="23"/>
        <v>Agosto</v>
      </c>
    </row>
    <row r="383" spans="1:12" x14ac:dyDescent="0.25">
      <c r="A383">
        <v>382</v>
      </c>
      <c r="B383" s="1">
        <v>45897</v>
      </c>
      <c r="C383" t="s">
        <v>10</v>
      </c>
      <c r="D383" t="s">
        <v>102</v>
      </c>
      <c r="E383" t="s">
        <v>13</v>
      </c>
      <c r="F383">
        <v>1</v>
      </c>
      <c r="G383" s="2">
        <v>500</v>
      </c>
      <c r="H383" s="2"/>
      <c r="I383" t="s">
        <v>32</v>
      </c>
      <c r="J383" s="3">
        <v>0.03</v>
      </c>
      <c r="K383" s="4">
        <f t="shared" si="22"/>
        <v>15</v>
      </c>
      <c r="L383" t="str">
        <f t="shared" si="23"/>
        <v>Agosto</v>
      </c>
    </row>
    <row r="384" spans="1:12" x14ac:dyDescent="0.25">
      <c r="A384">
        <v>383</v>
      </c>
      <c r="B384" s="1">
        <v>45874</v>
      </c>
      <c r="C384" t="s">
        <v>38</v>
      </c>
      <c r="D384" t="s">
        <v>51</v>
      </c>
      <c r="E384" t="s">
        <v>13</v>
      </c>
      <c r="F384">
        <v>1</v>
      </c>
      <c r="G384" s="2">
        <v>600</v>
      </c>
      <c r="H384" s="2"/>
      <c r="I384" t="s">
        <v>323</v>
      </c>
      <c r="J384" s="3">
        <v>0.03</v>
      </c>
      <c r="K384" s="4">
        <f>G384*J384</f>
        <v>18</v>
      </c>
      <c r="L384" t="str">
        <f>PROPER(TEXT(B384,"mmmm"))</f>
        <v>Agosto</v>
      </c>
    </row>
    <row r="385" spans="1:12" x14ac:dyDescent="0.25">
      <c r="A385">
        <v>384</v>
      </c>
      <c r="B385" s="1">
        <v>45875</v>
      </c>
      <c r="C385" t="s">
        <v>38</v>
      </c>
      <c r="D385" t="s">
        <v>299</v>
      </c>
      <c r="E385" t="s">
        <v>26</v>
      </c>
      <c r="F385">
        <v>1</v>
      </c>
      <c r="G385" s="2">
        <v>2500</v>
      </c>
      <c r="H385" s="2"/>
      <c r="I385" t="s">
        <v>32</v>
      </c>
      <c r="J385" s="3">
        <v>0.03</v>
      </c>
      <c r="K385" s="4">
        <f t="shared" ref="K385:K390" si="24">G385*J385</f>
        <v>75</v>
      </c>
      <c r="L385" t="str">
        <f t="shared" ref="L385:L390" si="25">PROPER(TEXT(B385,"mmmm"))</f>
        <v>Agosto</v>
      </c>
    </row>
    <row r="386" spans="1:12" x14ac:dyDescent="0.25">
      <c r="A386">
        <v>385</v>
      </c>
      <c r="B386" s="1">
        <v>45877</v>
      </c>
      <c r="C386" t="s">
        <v>38</v>
      </c>
      <c r="D386" t="s">
        <v>179</v>
      </c>
      <c r="E386" t="s">
        <v>15</v>
      </c>
      <c r="F386">
        <v>1</v>
      </c>
      <c r="G386" s="2">
        <v>1500</v>
      </c>
      <c r="H386" s="2"/>
      <c r="I386" t="s">
        <v>32</v>
      </c>
      <c r="J386" s="3">
        <v>0.03</v>
      </c>
      <c r="K386" s="4">
        <f t="shared" si="24"/>
        <v>45</v>
      </c>
      <c r="L386" t="str">
        <f t="shared" si="25"/>
        <v>Agosto</v>
      </c>
    </row>
    <row r="387" spans="1:12" x14ac:dyDescent="0.25">
      <c r="A387">
        <v>386</v>
      </c>
      <c r="B387" s="1">
        <v>45888</v>
      </c>
      <c r="C387" t="s">
        <v>38</v>
      </c>
      <c r="D387" t="s">
        <v>300</v>
      </c>
      <c r="E387" t="s">
        <v>11</v>
      </c>
      <c r="F387">
        <v>1</v>
      </c>
      <c r="G387" s="2">
        <v>1200</v>
      </c>
      <c r="H387" s="2">
        <v>22.38</v>
      </c>
      <c r="I387" t="s">
        <v>32</v>
      </c>
      <c r="J387" s="3">
        <v>0.03</v>
      </c>
      <c r="K387" s="4">
        <f t="shared" si="24"/>
        <v>36</v>
      </c>
      <c r="L387" t="str">
        <f t="shared" si="25"/>
        <v>Agosto</v>
      </c>
    </row>
    <row r="388" spans="1:12" x14ac:dyDescent="0.25">
      <c r="A388">
        <v>387</v>
      </c>
      <c r="B388" s="1">
        <v>45891</v>
      </c>
      <c r="C388" t="s">
        <v>38</v>
      </c>
      <c r="D388" t="s">
        <v>301</v>
      </c>
      <c r="E388" t="s">
        <v>11</v>
      </c>
      <c r="F388">
        <v>1</v>
      </c>
      <c r="G388" s="2">
        <v>600</v>
      </c>
      <c r="H388" s="2">
        <v>27</v>
      </c>
      <c r="I388" t="s">
        <v>32</v>
      </c>
      <c r="J388" s="3">
        <v>0.03</v>
      </c>
      <c r="K388" s="4">
        <f t="shared" si="24"/>
        <v>18</v>
      </c>
      <c r="L388" t="str">
        <f t="shared" si="25"/>
        <v>Agosto</v>
      </c>
    </row>
    <row r="389" spans="1:12" x14ac:dyDescent="0.25">
      <c r="A389">
        <v>388</v>
      </c>
      <c r="B389" s="1">
        <v>45895</v>
      </c>
      <c r="C389" t="s">
        <v>38</v>
      </c>
      <c r="D389" t="s">
        <v>302</v>
      </c>
      <c r="E389" t="s">
        <v>31</v>
      </c>
      <c r="F389">
        <v>1</v>
      </c>
      <c r="G389" s="2">
        <v>1300</v>
      </c>
      <c r="H389" s="2"/>
      <c r="I389" t="s">
        <v>32</v>
      </c>
      <c r="J389" s="3">
        <v>0.03</v>
      </c>
      <c r="K389" s="4">
        <f t="shared" si="24"/>
        <v>39</v>
      </c>
      <c r="L389" t="str">
        <f t="shared" si="25"/>
        <v>Agosto</v>
      </c>
    </row>
    <row r="390" spans="1:12" x14ac:dyDescent="0.25">
      <c r="A390">
        <v>389</v>
      </c>
      <c r="B390" s="1">
        <v>45895</v>
      </c>
      <c r="C390" t="s">
        <v>38</v>
      </c>
      <c r="D390" t="s">
        <v>303</v>
      </c>
      <c r="E390" t="s">
        <v>11</v>
      </c>
      <c r="F390">
        <v>1</v>
      </c>
      <c r="G390" s="2">
        <v>600</v>
      </c>
      <c r="H390" s="2"/>
      <c r="I390" t="s">
        <v>32</v>
      </c>
      <c r="J390" s="3">
        <v>0.03</v>
      </c>
      <c r="K390" s="4">
        <f t="shared" si="24"/>
        <v>18</v>
      </c>
      <c r="L390" t="str">
        <f t="shared" si="25"/>
        <v>Agosto</v>
      </c>
    </row>
    <row r="391" spans="1:12" x14ac:dyDescent="0.25">
      <c r="A391">
        <v>390</v>
      </c>
      <c r="B391" s="1">
        <v>45903</v>
      </c>
      <c r="C391" t="s">
        <v>10</v>
      </c>
      <c r="D391" t="s">
        <v>193</v>
      </c>
      <c r="E391" t="s">
        <v>16</v>
      </c>
      <c r="F391">
        <v>1</v>
      </c>
      <c r="G391" s="2">
        <v>350</v>
      </c>
      <c r="H391" s="2"/>
      <c r="I391" t="s">
        <v>32</v>
      </c>
      <c r="J391" s="3">
        <v>0.03</v>
      </c>
      <c r="K391" s="4">
        <f>G391*J391</f>
        <v>10.5</v>
      </c>
      <c r="L391" t="str">
        <f>PROPER(TEXT(B391,"mmmm"))</f>
        <v>Setembro</v>
      </c>
    </row>
    <row r="392" spans="1:12" x14ac:dyDescent="0.25">
      <c r="A392">
        <v>391</v>
      </c>
      <c r="B392" s="1">
        <v>45903</v>
      </c>
      <c r="C392" t="s">
        <v>10</v>
      </c>
      <c r="D392" t="s">
        <v>304</v>
      </c>
      <c r="E392" t="s">
        <v>12</v>
      </c>
      <c r="F392">
        <v>1</v>
      </c>
      <c r="G392" s="2">
        <v>9000</v>
      </c>
      <c r="H392" s="2"/>
      <c r="I392" t="s">
        <v>32</v>
      </c>
      <c r="J392" s="3">
        <v>0.03</v>
      </c>
      <c r="K392" s="4">
        <f t="shared" ref="K392:K415" si="26">G392*J392</f>
        <v>270</v>
      </c>
      <c r="L392" t="str">
        <f t="shared" ref="L392:L415" si="27">PROPER(TEXT(B392,"mmmm"))</f>
        <v>Setembro</v>
      </c>
    </row>
    <row r="393" spans="1:12" x14ac:dyDescent="0.25">
      <c r="A393">
        <v>392</v>
      </c>
      <c r="B393" s="1">
        <v>45903</v>
      </c>
      <c r="C393" t="s">
        <v>10</v>
      </c>
      <c r="D393" t="s">
        <v>305</v>
      </c>
      <c r="E393" t="s">
        <v>11</v>
      </c>
      <c r="F393">
        <v>1</v>
      </c>
      <c r="G393" s="2">
        <v>600</v>
      </c>
      <c r="H393" s="2"/>
      <c r="I393" t="s">
        <v>32</v>
      </c>
      <c r="J393" s="3">
        <v>0.03</v>
      </c>
      <c r="K393" s="4">
        <f t="shared" si="26"/>
        <v>18</v>
      </c>
      <c r="L393" t="str">
        <f t="shared" si="27"/>
        <v>Setembro</v>
      </c>
    </row>
    <row r="394" spans="1:12" x14ac:dyDescent="0.25">
      <c r="A394">
        <v>393</v>
      </c>
      <c r="B394" s="1">
        <v>45903</v>
      </c>
      <c r="C394" t="s">
        <v>10</v>
      </c>
      <c r="D394" t="s">
        <v>306</v>
      </c>
      <c r="E394" t="s">
        <v>11</v>
      </c>
      <c r="F394">
        <v>1</v>
      </c>
      <c r="G394" s="2">
        <v>600</v>
      </c>
      <c r="H394" s="2"/>
      <c r="I394" t="s">
        <v>32</v>
      </c>
      <c r="J394" s="3">
        <v>0.03</v>
      </c>
      <c r="K394" s="4">
        <f t="shared" si="26"/>
        <v>18</v>
      </c>
      <c r="L394" t="str">
        <f t="shared" si="27"/>
        <v>Setembro</v>
      </c>
    </row>
    <row r="395" spans="1:12" x14ac:dyDescent="0.25">
      <c r="A395">
        <v>394</v>
      </c>
      <c r="B395" s="1">
        <v>45904</v>
      </c>
      <c r="C395" t="s">
        <v>10</v>
      </c>
      <c r="D395" t="s">
        <v>307</v>
      </c>
      <c r="E395" t="s">
        <v>296</v>
      </c>
      <c r="F395">
        <v>1</v>
      </c>
      <c r="G395" s="2">
        <v>2500</v>
      </c>
      <c r="H395" s="2"/>
      <c r="I395" t="s">
        <v>32</v>
      </c>
      <c r="J395" s="3">
        <v>0.03</v>
      </c>
      <c r="K395" s="4">
        <f t="shared" si="26"/>
        <v>75</v>
      </c>
      <c r="L395" t="str">
        <f t="shared" si="27"/>
        <v>Setembro</v>
      </c>
    </row>
    <row r="396" spans="1:12" x14ac:dyDescent="0.25">
      <c r="A396">
        <v>395</v>
      </c>
      <c r="B396" s="1">
        <v>45904</v>
      </c>
      <c r="C396" t="s">
        <v>10</v>
      </c>
      <c r="D396" t="s">
        <v>85</v>
      </c>
      <c r="E396" t="s">
        <v>16</v>
      </c>
      <c r="F396">
        <v>1</v>
      </c>
      <c r="G396" s="2">
        <v>350</v>
      </c>
      <c r="H396" s="2"/>
      <c r="I396" t="s">
        <v>32</v>
      </c>
      <c r="J396" s="3">
        <v>0.03</v>
      </c>
      <c r="K396" s="4">
        <f t="shared" si="26"/>
        <v>10.5</v>
      </c>
      <c r="L396" t="str">
        <f t="shared" si="27"/>
        <v>Setembro</v>
      </c>
    </row>
    <row r="397" spans="1:12" x14ac:dyDescent="0.25">
      <c r="A397">
        <v>396</v>
      </c>
      <c r="B397" s="1">
        <v>45904</v>
      </c>
      <c r="C397" t="s">
        <v>10</v>
      </c>
      <c r="D397" t="s">
        <v>61</v>
      </c>
      <c r="E397" t="s">
        <v>13</v>
      </c>
      <c r="F397">
        <v>1</v>
      </c>
      <c r="G397" s="2">
        <v>700</v>
      </c>
      <c r="H397" s="2"/>
      <c r="I397" t="s">
        <v>32</v>
      </c>
      <c r="J397" s="3">
        <v>0.03</v>
      </c>
      <c r="K397" s="4">
        <f t="shared" si="26"/>
        <v>21</v>
      </c>
      <c r="L397" t="str">
        <f t="shared" si="27"/>
        <v>Setembro</v>
      </c>
    </row>
    <row r="398" spans="1:12" x14ac:dyDescent="0.25">
      <c r="A398">
        <v>397</v>
      </c>
      <c r="B398" s="1">
        <v>45904</v>
      </c>
      <c r="C398" t="s">
        <v>10</v>
      </c>
      <c r="D398" t="s">
        <v>61</v>
      </c>
      <c r="E398" t="s">
        <v>11</v>
      </c>
      <c r="F398">
        <v>1</v>
      </c>
      <c r="G398" s="2">
        <v>600</v>
      </c>
      <c r="H398" s="2"/>
      <c r="I398" t="s">
        <v>32</v>
      </c>
      <c r="J398" s="3">
        <v>0.03</v>
      </c>
      <c r="K398" s="4">
        <f t="shared" si="26"/>
        <v>18</v>
      </c>
      <c r="L398" t="str">
        <f t="shared" si="27"/>
        <v>Setembro</v>
      </c>
    </row>
    <row r="399" spans="1:12" x14ac:dyDescent="0.25">
      <c r="A399">
        <v>398</v>
      </c>
      <c r="B399" s="1">
        <v>45912</v>
      </c>
      <c r="C399" t="s">
        <v>10</v>
      </c>
      <c r="D399" t="s">
        <v>186</v>
      </c>
      <c r="E399" t="s">
        <v>16</v>
      </c>
      <c r="F399">
        <v>1</v>
      </c>
      <c r="G399" s="2">
        <v>150</v>
      </c>
      <c r="H399" s="2"/>
      <c r="I399" t="s">
        <v>323</v>
      </c>
      <c r="J399" s="3">
        <v>0.03</v>
      </c>
      <c r="K399" s="4">
        <f t="shared" si="26"/>
        <v>4.5</v>
      </c>
      <c r="L399" t="str">
        <f t="shared" si="27"/>
        <v>Setembro</v>
      </c>
    </row>
    <row r="400" spans="1:12" x14ac:dyDescent="0.25">
      <c r="A400">
        <v>399</v>
      </c>
      <c r="B400" s="1">
        <v>45912</v>
      </c>
      <c r="C400" t="s">
        <v>10</v>
      </c>
      <c r="D400" t="s">
        <v>91</v>
      </c>
      <c r="E400" t="s">
        <v>16</v>
      </c>
      <c r="F400">
        <v>1</v>
      </c>
      <c r="G400" s="2">
        <v>350</v>
      </c>
      <c r="H400" s="2"/>
      <c r="I400" t="s">
        <v>32</v>
      </c>
      <c r="J400" s="3">
        <v>0.03</v>
      </c>
      <c r="K400" s="4">
        <f t="shared" si="26"/>
        <v>10.5</v>
      </c>
      <c r="L400" t="str">
        <f t="shared" si="27"/>
        <v>Setembro</v>
      </c>
    </row>
    <row r="401" spans="1:12" x14ac:dyDescent="0.25">
      <c r="A401">
        <v>400</v>
      </c>
      <c r="B401" s="1">
        <v>45912</v>
      </c>
      <c r="C401" t="s">
        <v>10</v>
      </c>
      <c r="D401" t="s">
        <v>197</v>
      </c>
      <c r="E401" t="s">
        <v>31</v>
      </c>
      <c r="F401">
        <v>1</v>
      </c>
      <c r="G401" s="2">
        <v>1900</v>
      </c>
      <c r="H401" s="2"/>
      <c r="I401" t="s">
        <v>32</v>
      </c>
      <c r="J401" s="3">
        <v>0.03</v>
      </c>
      <c r="K401" s="4">
        <f t="shared" si="26"/>
        <v>57</v>
      </c>
      <c r="L401" t="str">
        <f t="shared" si="27"/>
        <v>Setembro</v>
      </c>
    </row>
    <row r="402" spans="1:12" x14ac:dyDescent="0.25">
      <c r="A402">
        <v>401</v>
      </c>
      <c r="B402" s="1">
        <v>45912</v>
      </c>
      <c r="C402" t="s">
        <v>10</v>
      </c>
      <c r="D402" t="s">
        <v>308</v>
      </c>
      <c r="E402" t="s">
        <v>16</v>
      </c>
      <c r="F402">
        <v>1</v>
      </c>
      <c r="G402" s="2">
        <v>350</v>
      </c>
      <c r="H402" s="2"/>
      <c r="I402" t="s">
        <v>32</v>
      </c>
      <c r="J402" s="3">
        <v>0.03</v>
      </c>
      <c r="K402" s="4">
        <f t="shared" si="26"/>
        <v>10.5</v>
      </c>
      <c r="L402" t="str">
        <f t="shared" si="27"/>
        <v>Setembro</v>
      </c>
    </row>
    <row r="403" spans="1:12" x14ac:dyDescent="0.25">
      <c r="A403">
        <v>402</v>
      </c>
      <c r="B403" s="1">
        <v>45918</v>
      </c>
      <c r="C403" t="s">
        <v>10</v>
      </c>
      <c r="D403" t="s">
        <v>309</v>
      </c>
      <c r="E403" t="s">
        <v>23</v>
      </c>
      <c r="F403">
        <v>1</v>
      </c>
      <c r="G403" s="2">
        <v>600</v>
      </c>
      <c r="H403" s="2"/>
      <c r="I403" t="s">
        <v>32</v>
      </c>
      <c r="J403" s="3">
        <v>0.03</v>
      </c>
      <c r="K403" s="4">
        <f t="shared" si="26"/>
        <v>18</v>
      </c>
      <c r="L403" t="str">
        <f t="shared" si="27"/>
        <v>Setembro</v>
      </c>
    </row>
    <row r="404" spans="1:12" x14ac:dyDescent="0.25">
      <c r="A404">
        <v>403</v>
      </c>
      <c r="B404" s="1">
        <v>45918</v>
      </c>
      <c r="C404" t="s">
        <v>10</v>
      </c>
      <c r="D404" t="s">
        <v>309</v>
      </c>
      <c r="E404" t="s">
        <v>13</v>
      </c>
      <c r="F404">
        <v>1</v>
      </c>
      <c r="G404" s="2">
        <v>3000</v>
      </c>
      <c r="H404" s="2"/>
      <c r="I404" t="s">
        <v>32</v>
      </c>
      <c r="J404" s="3">
        <v>0.03</v>
      </c>
      <c r="K404" s="4">
        <f t="shared" si="26"/>
        <v>90</v>
      </c>
      <c r="L404" t="str">
        <f t="shared" si="27"/>
        <v>Setembro</v>
      </c>
    </row>
    <row r="405" spans="1:12" x14ac:dyDescent="0.25">
      <c r="A405">
        <v>404</v>
      </c>
      <c r="B405" s="1">
        <v>45918</v>
      </c>
      <c r="C405" t="s">
        <v>10</v>
      </c>
      <c r="D405" t="s">
        <v>60</v>
      </c>
      <c r="E405" t="s">
        <v>296</v>
      </c>
      <c r="F405">
        <v>1</v>
      </c>
      <c r="G405" s="2">
        <v>500</v>
      </c>
      <c r="H405" s="2"/>
      <c r="I405" t="s">
        <v>32</v>
      </c>
      <c r="J405" s="3">
        <v>0.03</v>
      </c>
      <c r="K405" s="4">
        <f t="shared" si="26"/>
        <v>15</v>
      </c>
      <c r="L405" t="str">
        <f t="shared" si="27"/>
        <v>Setembro</v>
      </c>
    </row>
    <row r="406" spans="1:12" x14ac:dyDescent="0.25">
      <c r="A406">
        <v>405</v>
      </c>
      <c r="B406" s="1">
        <v>45918</v>
      </c>
      <c r="C406" t="s">
        <v>10</v>
      </c>
      <c r="D406" t="s">
        <v>310</v>
      </c>
      <c r="E406" t="s">
        <v>23</v>
      </c>
      <c r="F406">
        <v>1</v>
      </c>
      <c r="G406" s="2">
        <v>600</v>
      </c>
      <c r="H406" s="2"/>
      <c r="I406" t="s">
        <v>32</v>
      </c>
      <c r="J406" s="3">
        <v>0.03</v>
      </c>
      <c r="K406" s="4">
        <f t="shared" si="26"/>
        <v>18</v>
      </c>
      <c r="L406" t="str">
        <f t="shared" si="27"/>
        <v>Setembro</v>
      </c>
    </row>
    <row r="407" spans="1:12" x14ac:dyDescent="0.25">
      <c r="A407">
        <v>406</v>
      </c>
      <c r="B407" s="1">
        <v>45918</v>
      </c>
      <c r="C407" t="s">
        <v>10</v>
      </c>
      <c r="D407" t="s">
        <v>306</v>
      </c>
      <c r="E407" t="s">
        <v>16</v>
      </c>
      <c r="F407">
        <v>1</v>
      </c>
      <c r="G407" s="2">
        <v>350</v>
      </c>
      <c r="H407" s="2"/>
      <c r="I407" t="s">
        <v>32</v>
      </c>
      <c r="J407" s="3">
        <v>0.03</v>
      </c>
      <c r="K407" s="4">
        <f t="shared" si="26"/>
        <v>10.5</v>
      </c>
      <c r="L407" t="str">
        <f t="shared" si="27"/>
        <v>Setembro</v>
      </c>
    </row>
    <row r="408" spans="1:12" x14ac:dyDescent="0.25">
      <c r="A408">
        <v>407</v>
      </c>
      <c r="B408" s="1">
        <v>45918</v>
      </c>
      <c r="C408" t="s">
        <v>10</v>
      </c>
      <c r="D408" t="s">
        <v>245</v>
      </c>
      <c r="E408" t="s">
        <v>16</v>
      </c>
      <c r="F408">
        <v>1</v>
      </c>
      <c r="G408" s="2">
        <v>300</v>
      </c>
      <c r="H408" s="2"/>
      <c r="I408" t="s">
        <v>32</v>
      </c>
      <c r="J408" s="3">
        <v>0.03</v>
      </c>
      <c r="K408" s="4">
        <f t="shared" si="26"/>
        <v>9</v>
      </c>
      <c r="L408" t="str">
        <f t="shared" si="27"/>
        <v>Setembro</v>
      </c>
    </row>
    <row r="409" spans="1:12" x14ac:dyDescent="0.25">
      <c r="A409">
        <v>408</v>
      </c>
      <c r="B409" s="1">
        <v>45918</v>
      </c>
      <c r="C409" t="s">
        <v>10</v>
      </c>
      <c r="D409" t="s">
        <v>311</v>
      </c>
      <c r="E409" t="s">
        <v>23</v>
      </c>
      <c r="F409">
        <v>1</v>
      </c>
      <c r="G409" s="2">
        <v>600</v>
      </c>
      <c r="H409" s="2"/>
      <c r="I409" t="s">
        <v>32</v>
      </c>
      <c r="J409" s="3">
        <v>0.03</v>
      </c>
      <c r="K409" s="4">
        <f t="shared" si="26"/>
        <v>18</v>
      </c>
      <c r="L409" t="str">
        <f t="shared" si="27"/>
        <v>Setembro</v>
      </c>
    </row>
    <row r="410" spans="1:12" x14ac:dyDescent="0.25">
      <c r="A410">
        <v>409</v>
      </c>
      <c r="B410" s="1">
        <v>45919</v>
      </c>
      <c r="C410" t="s">
        <v>10</v>
      </c>
      <c r="D410" t="s">
        <v>312</v>
      </c>
      <c r="E410" t="s">
        <v>13</v>
      </c>
      <c r="F410">
        <v>1</v>
      </c>
      <c r="G410" s="2">
        <v>3000</v>
      </c>
      <c r="H410" s="2"/>
      <c r="I410" t="s">
        <v>32</v>
      </c>
      <c r="J410" s="3">
        <v>0.03</v>
      </c>
      <c r="K410" s="4">
        <f t="shared" si="26"/>
        <v>90</v>
      </c>
      <c r="L410" t="str">
        <f t="shared" si="27"/>
        <v>Setembro</v>
      </c>
    </row>
    <row r="411" spans="1:12" x14ac:dyDescent="0.25">
      <c r="A411">
        <v>410</v>
      </c>
      <c r="B411" s="1">
        <v>45919</v>
      </c>
      <c r="C411" t="s">
        <v>10</v>
      </c>
      <c r="D411" t="s">
        <v>95</v>
      </c>
      <c r="E411" t="s">
        <v>16</v>
      </c>
      <c r="F411">
        <v>1</v>
      </c>
      <c r="G411" s="2">
        <v>350</v>
      </c>
      <c r="H411" s="2"/>
      <c r="I411" t="s">
        <v>32</v>
      </c>
      <c r="J411" s="3">
        <v>0.03</v>
      </c>
      <c r="K411" s="4">
        <f t="shared" si="26"/>
        <v>10.5</v>
      </c>
      <c r="L411" t="str">
        <f t="shared" si="27"/>
        <v>Setembro</v>
      </c>
    </row>
    <row r="412" spans="1:12" x14ac:dyDescent="0.25">
      <c r="A412">
        <v>411</v>
      </c>
      <c r="B412" s="1">
        <v>45919</v>
      </c>
      <c r="C412" t="s">
        <v>10</v>
      </c>
      <c r="D412" t="s">
        <v>313</v>
      </c>
      <c r="E412" t="s">
        <v>11</v>
      </c>
      <c r="F412">
        <v>1</v>
      </c>
      <c r="G412" s="2">
        <v>600</v>
      </c>
      <c r="H412" s="2"/>
      <c r="I412" t="s">
        <v>323</v>
      </c>
      <c r="J412" s="3">
        <v>0.03</v>
      </c>
      <c r="K412" s="4">
        <f t="shared" si="26"/>
        <v>18</v>
      </c>
      <c r="L412" t="str">
        <f t="shared" si="27"/>
        <v>Setembro</v>
      </c>
    </row>
    <row r="413" spans="1:12" x14ac:dyDescent="0.25">
      <c r="A413">
        <v>412</v>
      </c>
      <c r="B413" s="1">
        <v>45919</v>
      </c>
      <c r="C413" t="s">
        <v>10</v>
      </c>
      <c r="D413" t="s">
        <v>85</v>
      </c>
      <c r="E413" t="s">
        <v>16</v>
      </c>
      <c r="F413">
        <v>1</v>
      </c>
      <c r="G413" s="2">
        <v>350</v>
      </c>
      <c r="H413" s="2"/>
      <c r="I413" t="s">
        <v>32</v>
      </c>
      <c r="J413" s="3">
        <v>0.03</v>
      </c>
      <c r="K413" s="4">
        <f t="shared" si="26"/>
        <v>10.5</v>
      </c>
      <c r="L413" t="str">
        <f t="shared" si="27"/>
        <v>Setembro</v>
      </c>
    </row>
    <row r="414" spans="1:12" x14ac:dyDescent="0.25">
      <c r="A414">
        <v>413</v>
      </c>
      <c r="B414" s="1">
        <v>45919</v>
      </c>
      <c r="C414" t="s">
        <v>10</v>
      </c>
      <c r="D414" t="s">
        <v>314</v>
      </c>
      <c r="E414" t="s">
        <v>16</v>
      </c>
      <c r="F414">
        <v>1</v>
      </c>
      <c r="G414" s="2">
        <v>350</v>
      </c>
      <c r="H414" s="2"/>
      <c r="I414" t="s">
        <v>32</v>
      </c>
      <c r="J414" s="3">
        <v>0.03</v>
      </c>
      <c r="K414" s="4">
        <f t="shared" si="26"/>
        <v>10.5</v>
      </c>
      <c r="L414" t="str">
        <f t="shared" si="27"/>
        <v>Setembro</v>
      </c>
    </row>
    <row r="415" spans="1:12" x14ac:dyDescent="0.25">
      <c r="A415">
        <v>414</v>
      </c>
      <c r="B415" s="1">
        <v>45909</v>
      </c>
      <c r="C415" t="s">
        <v>10</v>
      </c>
      <c r="D415" t="s">
        <v>315</v>
      </c>
      <c r="E415" t="s">
        <v>42</v>
      </c>
      <c r="F415">
        <v>1</v>
      </c>
      <c r="G415" s="2">
        <v>9000</v>
      </c>
      <c r="H415" s="2"/>
      <c r="I415" t="s">
        <v>32</v>
      </c>
      <c r="J415" s="3">
        <v>0.03</v>
      </c>
      <c r="K415" s="4">
        <f t="shared" si="26"/>
        <v>270</v>
      </c>
      <c r="L415" t="str">
        <f t="shared" si="27"/>
        <v>Setembro</v>
      </c>
    </row>
    <row r="416" spans="1:12" x14ac:dyDescent="0.25">
      <c r="A416">
        <v>415</v>
      </c>
      <c r="B416" s="1">
        <v>45909</v>
      </c>
      <c r="C416" t="s">
        <v>38</v>
      </c>
      <c r="D416" t="s">
        <v>316</v>
      </c>
      <c r="E416" t="s">
        <v>42</v>
      </c>
      <c r="F416">
        <v>1</v>
      </c>
      <c r="G416" s="2">
        <v>1</v>
      </c>
      <c r="H416" s="2"/>
      <c r="I416" t="s">
        <v>317</v>
      </c>
      <c r="J416" s="3">
        <v>0.03</v>
      </c>
      <c r="K416" s="4">
        <f>G416*J416</f>
        <v>0.03</v>
      </c>
      <c r="L416" t="str">
        <f>PROPER(TEXT(B416,"mmmm"))</f>
        <v>Setembro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Tabela Dinamica</vt:lpstr>
      <vt:lpstr>BASE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Cosme Rodrigues Araujo</dc:creator>
  <cp:lastModifiedBy>Wellington Cosme Rodrigues Araujo</cp:lastModifiedBy>
  <dcterms:created xsi:type="dcterms:W3CDTF">2025-10-01T23:48:11Z</dcterms:created>
  <dcterms:modified xsi:type="dcterms:W3CDTF">2025-11-17T02:03:17Z</dcterms:modified>
</cp:coreProperties>
</file>